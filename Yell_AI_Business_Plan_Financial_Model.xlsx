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 Economics &amp; Core Logic" sheetId="1" r:id="rId1"/>
    <sheet name="Scenario 1 (1k Users 10 Brands)" sheetId="2" r:id="rId2"/>
    <sheet name="Scenario 2 (1,000 Brands Scale)" sheetId="3" r:id="rId3"/>
    <sheet name="12-Month Growth Forecast" sheetId="4" r:id="rId4"/>
  </sheets>
  <calcPr calcId="124519" fullCalcOnLoad="1"/>
</workbook>
</file>

<file path=xl/sharedStrings.xml><?xml version="1.0" encoding="utf-8"?>
<sst xmlns="http://schemas.openxmlformats.org/spreadsheetml/2006/main" count="196" uniqueCount="143">
  <si>
    <t>YELL AI — UNIT ECONOMICS &amp; UNIT COST MODEL</t>
  </si>
  <si>
    <t>India's Personal AI Super-Agent on WhatsApp • Real Unit Costs, CPM Rates &amp; Margins</t>
  </si>
  <si>
    <t>1. UNIT COST EQUATION (WHAT 1 USER COSTS)</t>
  </si>
  <si>
    <t>Cost Component</t>
  </si>
  <si>
    <t>Billing Basis</t>
  </si>
  <si>
    <t>Unit Cost (₹)</t>
  </si>
  <si>
    <t>Cost for 100 Msgs/Day</t>
  </si>
  <si>
    <t>TRAI &amp; Meta Cloud API Rules</t>
  </si>
  <si>
    <t>Meta WhatsApp Cloud API</t>
  </si>
  <si>
    <t>Per 24h Service Conversation Window</t>
  </si>
  <si>
    <t>Meta charges ₹0.35 flat per 24 hours. Unlimited messages within 24h.</t>
  </si>
  <si>
    <t>Gemini 3.8 Flash Inference</t>
  </si>
  <si>
    <t>Tokens (~400 tokens / message turn)</t>
  </si>
  <si>
    <t>400 tokens/msg @ $0.075/1M input, $0.30/1M output (&lt;1 paisa per turn).</t>
  </si>
  <si>
    <t>Cloud Run Compute &amp; DB Hosting</t>
  </si>
  <si>
    <t>Serverless compute (Mumbai asia-south1)</t>
  </si>
  <si>
    <t>Serverless auto-scaling micro-service in Mumbai. Negligible at scale.</t>
  </si>
  <si>
    <t>TOTAL DAILY COST PER ACTIVE USER</t>
  </si>
  <si>
    <t>100 messages in 24 hours</t>
  </si>
  <si>
    <t>-</t>
  </si>
  <si>
    <t>TOTAL COST TO SERVICE 1 HEAVY USER FOR A FULL DAY</t>
  </si>
  <si>
    <t>TOTAL MONTHLY COST PER ACTIVE USER</t>
  </si>
  <si>
    <t>30 days @ 100 msgs/day (3,000 msgs/mo)</t>
  </si>
  <si>
    <t>TOTAL MONTHLY OPERATING COST PER DAILY ACTIVE USER (DAU)</t>
  </si>
  <si>
    <t>2. AD MONETIZATION EQUATION (BRAND ATTENTION CPM)</t>
  </si>
  <si>
    <t>Revenue Driver</t>
  </si>
  <si>
    <t>Metric / Formula</t>
  </si>
  <si>
    <t>Standard Rate (₹)</t>
  </si>
  <si>
    <t>Daily Per Active User</t>
  </si>
  <si>
    <t>Monthly Per Active User</t>
  </si>
  <si>
    <t>Brand Attention CPM (Rate)</t>
  </si>
  <si>
    <t>Cost paid by advertisers per 1,000 views</t>
  </si>
  <si>
    <t>Cost Per Single Ad Impression</t>
  </si>
  <si>
    <t>₹350 / 1,000 impressions</t>
  </si>
  <si>
    <t>Ad Density / Frequency</t>
  </si>
  <si>
    <t>Served only on high-intent turns (30% of turns)</t>
  </si>
  <si>
    <t>Daily Ad Impressions Delivered</t>
  </si>
  <si>
    <t>100 msgs * 30% frequency</t>
  </si>
  <si>
    <t>30 views</t>
  </si>
  <si>
    <t>GROSS AD REVENUE PER ACTIVE USER</t>
  </si>
  <si>
    <t>30 views/day * ₹0.35/view</t>
  </si>
  <si>
    <t>Pro Subscription Alternative</t>
  </si>
  <si>
    <t>₹199 / month via UPI Autopay (100% ad-free)</t>
  </si>
  <si>
    <t>3. THE 1-USER PROFIT MULTIPLIER</t>
  </si>
  <si>
    <t>Monthly Ad Revenue from 1 User:</t>
  </si>
  <si>
    <t>Monthly Operating Cost for 1 User:</t>
  </si>
  <si>
    <t>Net Monthly Profit Per User:</t>
  </si>
  <si>
    <t>Profit Multiple (Revenue / Cost):</t>
  </si>
  <si>
    <t>SCENARIO 1: 1,000 ACTIVE USERS • 100 MSGS/DAY • 10 BRANDS</t>
  </si>
  <si>
    <t>Realistic initial launch phase model (Month 1 - Month 3)</t>
  </si>
  <si>
    <t>Line Item</t>
  </si>
  <si>
    <t>Daily Metric</t>
  </si>
  <si>
    <t>Monthly Metric (30 Days)</t>
  </si>
  <si>
    <t>Rate / Assumption</t>
  </si>
  <si>
    <t>Financial Total (₹ / Month)</t>
  </si>
  <si>
    <t>Daily Active Users (DAU)</t>
  </si>
  <si>
    <t>1,000 daily chatting users</t>
  </si>
  <si>
    <t>Messages Sent / Received Per User</t>
  </si>
  <si>
    <t>100 turns/day per user</t>
  </si>
  <si>
    <t>Total Messages Processed</t>
  </si>
  <si>
    <t>100,000 msgs/day = 3M msgs/month</t>
  </si>
  <si>
    <t>High-Intent Ad Turns (30% Frequency)</t>
  </si>
  <si>
    <t>Only 30% of messages have sponsor perks</t>
  </si>
  <si>
    <t>Total Ad Impressions Delivered</t>
  </si>
  <si>
    <t>900,000 impressions / month</t>
  </si>
  <si>
    <t>₹350 per 1,000 views (₹0.35 / view)</t>
  </si>
  <si>
    <t>GROSS AD REVENUE (10 BRANDS)</t>
  </si>
  <si>
    <t>Split across 10 brands = ₹31,500/brand/mo</t>
  </si>
  <si>
    <t>COGS: Meta WhatsApp Cloud API</t>
  </si>
  <si>
    <t>1,000 users * ₹0.35/day (24h window)</t>
  </si>
  <si>
    <t>COGS: Gemini 3.8 Flash Inference</t>
  </si>
  <si>
    <t>3,000,000 msgs * ₹0.0075 / call</t>
  </si>
  <si>
    <t>COGS: Google Cloud Run &amp; DB Hosting</t>
  </si>
  <si>
    <t>Serverless compute in Mumbai</t>
  </si>
  <si>
    <t>TOTAL MONTHLY OPERATING COST</t>
  </si>
  <si>
    <t>All API, Server &amp; Platform Fees</t>
  </si>
  <si>
    <t>NET MONTHLY PROFIT</t>
  </si>
  <si>
    <t>Gross Revenue - Operating Costs</t>
  </si>
  <si>
    <t>NET PROFIT MARGIN (%)</t>
  </si>
  <si>
    <t>Net Profit / Gross Revenue</t>
  </si>
  <si>
    <t>AVERAGE REVENUE PER USER (ARPU)</t>
  </si>
  <si>
    <t>Monthly Revenue / 1,000 DAU</t>
  </si>
  <si>
    <t>SPONSOR COST PER BRAND</t>
  </si>
  <si>
    <t>₹3,15,000 split across 10 brands</t>
  </si>
  <si>
    <t>SCENARIO 2: 1,000 BRANDS PAYING (THE SCALING MONEY MACHINE)</t>
  </si>
  <si>
    <t>Enterprise scale: 1,000 advertisers depositing monthly ad budget</t>
  </si>
  <si>
    <t>Parameter / Metric</t>
  </si>
  <si>
    <t>Monthly Metric</t>
  </si>
  <si>
    <t>Assumptions &amp; Equations</t>
  </si>
  <si>
    <t>Active Advertisers / Brands</t>
  </si>
  <si>
    <t>1,000 brands running campaigns via Brands Portal</t>
  </si>
  <si>
    <t>Average Monthly Deposit Per Brand</t>
  </si>
  <si>
    <t>₹10,000 average prepaid ad wallet deposit per brand</t>
  </si>
  <si>
    <t>GROSS MONTHLY AD REVENUE</t>
  </si>
  <si>
    <t>1,000 brands * ₹10,000 / month</t>
  </si>
  <si>
    <t>Ad Placement CPM Rate</t>
  </si>
  <si>
    <t>₹350 per 1,000 impressions (₹0.35/view)</t>
  </si>
  <si>
    <t>Total Impressions To Deliver</t>
  </si>
  <si>
    <t>₹1 Crore / ₹350 CPM = ~28.57 Million impressions</t>
  </si>
  <si>
    <t>Ad Density / Turns (30% of messages)</t>
  </si>
  <si>
    <t>Only 30% of user turns have sponsor cards</t>
  </si>
  <si>
    <t>Total Message Turns Needed</t>
  </si>
  <si>
    <t>28.57M impressions / 0.3 = 95.23M total message turns</t>
  </si>
  <si>
    <t>Average Msgs Per User / Day</t>
  </si>
  <si>
    <t>Conservative 50 msgs/day per active user</t>
  </si>
  <si>
    <t>Daily Active Users (DAU) Required</t>
  </si>
  <si>
    <t>95.2M turns / 1,500 msgs/user/mo = ~63,492 DAU</t>
  </si>
  <si>
    <t>63,492 DAU * ₹0.35/day * 30 days</t>
  </si>
  <si>
    <t>95,238,095 messages * ₹0.0075 / turn</t>
  </si>
  <si>
    <t>COGS: Cloud Infrastructure &amp; Redis</t>
  </si>
  <si>
    <t>High-throughput cluster + Cloud Run + Cloud SQL</t>
  </si>
  <si>
    <t>Operations &amp; Support Staff</t>
  </si>
  <si>
    <t>Customer support &amp; advertiser account management</t>
  </si>
  <si>
    <t>Total Delivery &amp; Platform Costs</t>
  </si>
  <si>
    <t>NET MONTHLY PROFIT (EBITDA)</t>
  </si>
  <si>
    <t>Gross Revenue - Total Costs</t>
  </si>
  <si>
    <t>ANNUALIZED NET PROFIT (ARR PROFIT)</t>
  </si>
  <si>
    <t>Monthly Net Profit * 12 Months</t>
  </si>
  <si>
    <t>YELL AI — 12-MONTH REVENUE &amp; PROFIT PROJECTION</t>
  </si>
  <si>
    <t>Scaling from 500 DAU to 50,000 DAU with Pro Subscriptions &amp; Brand Ads</t>
  </si>
  <si>
    <t>Month</t>
  </si>
  <si>
    <t>Active DAU</t>
  </si>
  <si>
    <t>Total Messages</t>
  </si>
  <si>
    <t>Brand Sponsors</t>
  </si>
  <si>
    <t>Ad Revenue (₹)</t>
  </si>
  <si>
    <t>Pro Subs (₹199)</t>
  </si>
  <si>
    <t>Total Revenue (₹)</t>
  </si>
  <si>
    <t>Total COGS (₹)</t>
  </si>
  <si>
    <t>Net Profit (₹)</t>
  </si>
  <si>
    <t>Margin %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</si>
  <si>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</si>
  <si>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</si>
  <si>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</si>
  <si>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</si>
  <si>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</si>
  <si>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</si>
  <si>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</si>
  <si>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</si>
  <si>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</si>
  <si>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</si>
  <si>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</si>
  <si>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</si>
  <si>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 TOTAL</t>
  </si>
</sst>
</file>

<file path=xl/styles.xml><?xml version="1.0" encoding="utf-8"?>
<styleSheet xmlns="http://schemas.openxmlformats.org/spreadsheetml/2006/main">
  <numFmts count="6">
    <numFmt numFmtId="164" formatCode="[$₹-4009] #,##0.00"/>
    <numFmt numFmtId="165" formatCode="[$₹-4009] #,##0.0000"/>
    <numFmt numFmtId="166" formatCode="0.0%"/>
    <numFmt numFmtId="167" formatCode="#,##0"/>
    <numFmt numFmtId="168" formatCode="0.0&quot;x&quot;"/>
    <numFmt numFmtId="169" formatCode="[$₹-4009] #,##0"/>
  </numFmts>
  <fonts count="10">
    <font>
      <sz val="11"/>
      <color theme="1"/>
      <name val="Calibri"/>
      <family val="2"/>
      <scheme val="minor"/>
    </font>
    <font>
      <b/>
      <sz val="16"/>
      <color rgb="FF111827"/>
      <name val="Segoe UI"/>
      <family val="2"/>
    </font>
    <font>
      <i/>
      <sz val="10"/>
      <color rgb="FF4B5563"/>
      <name val="Segoe UI"/>
      <family val="2"/>
    </font>
    <font>
      <b/>
      <sz val="12"/>
      <color rgb="FF059669"/>
      <name val="Segoe UI"/>
      <family val="2"/>
    </font>
    <font>
      <b/>
      <sz val="10"/>
      <color rgb="FFFFFFFF"/>
      <name val="Segoe UI"/>
      <family val="2"/>
    </font>
    <font>
      <sz val="10"/>
      <color rgb="FF1F2937"/>
      <name val="Segoe UI"/>
      <family val="2"/>
    </font>
    <font>
      <b/>
      <sz val="10"/>
      <color rgb="FF065F46"/>
      <name val="Segoe UI"/>
      <family val="2"/>
    </font>
    <font>
      <b/>
      <sz val="11"/>
      <color rgb="FF065F46"/>
      <name val="Segoe UI"/>
      <family val="2"/>
    </font>
    <font>
      <b/>
      <sz val="10"/>
      <color rgb="FF111827"/>
      <name val="Segoe UI"/>
      <family val="2"/>
    </font>
    <font>
      <b/>
      <sz val="10"/>
      <color rgb="FF991B1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FEF2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0B98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164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0" fontId="6" fillId="3" borderId="4" xfId="0" applyFont="1" applyFill="1" applyBorder="1"/>
    <xf numFmtId="0" fontId="5" fillId="0" borderId="3" xfId="0" applyFont="1" applyBorder="1" applyAlignment="1">
      <alignment horizontal="center"/>
    </xf>
    <xf numFmtId="164" fontId="7" fillId="3" borderId="4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/>
    </xf>
    <xf numFmtId="166" fontId="5" fillId="0" borderId="3" xfId="0" applyNumberFormat="1" applyFont="1" applyBorder="1" applyAlignment="1">
      <alignment horizontal="right"/>
    </xf>
    <xf numFmtId="167" fontId="5" fillId="0" borderId="3" xfId="0" applyNumberFormat="1" applyFont="1" applyBorder="1" applyAlignment="1">
      <alignment horizontal="right"/>
    </xf>
    <xf numFmtId="0" fontId="8" fillId="0" borderId="3" xfId="0" applyFont="1" applyBorder="1"/>
    <xf numFmtId="164" fontId="9" fillId="5" borderId="5" xfId="0" applyNumberFormat="1" applyFont="1" applyFill="1" applyBorder="1" applyAlignment="1">
      <alignment horizontal="right"/>
    </xf>
    <xf numFmtId="168" fontId="7" fillId="3" borderId="4" xfId="0" applyNumberFormat="1" applyFont="1" applyFill="1" applyBorder="1" applyAlignment="1">
      <alignment horizontal="right"/>
    </xf>
    <xf numFmtId="0" fontId="9" fillId="5" borderId="5" xfId="0" applyFont="1" applyFill="1" applyBorder="1"/>
    <xf numFmtId="166" fontId="7" fillId="3" borderId="4" xfId="0" applyNumberFormat="1" applyFont="1" applyFill="1" applyBorder="1" applyAlignment="1">
      <alignment horizontal="right"/>
    </xf>
    <xf numFmtId="169" fontId="7" fillId="3" borderId="4" xfId="0" applyNumberFormat="1" applyFont="1" applyFill="1" applyBorder="1" applyAlignment="1">
      <alignment horizontal="right"/>
    </xf>
    <xf numFmtId="169" fontId="5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0B981"/>
  </sheetPr>
  <dimension ref="A1:E25"/>
  <sheetViews>
    <sheetView tabSelected="1" workbookViewId="0"/>
  </sheetViews>
  <sheetFormatPr defaultRowHeight="15"/>
  <cols>
    <col min="1" max="2" width="38.7109375" customWidth="1"/>
    <col min="3" max="3" width="18.7109375" customWidth="1"/>
    <col min="4" max="4" width="22.7109375" customWidth="1"/>
    <col min="5" max="5" width="50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5" t="s">
        <v>8</v>
      </c>
      <c r="B6" s="5" t="s">
        <v>9</v>
      </c>
      <c r="C6" s="6">
        <v>0.35</v>
      </c>
      <c r="D6" s="6">
        <f>C6</f>
        <v>0</v>
      </c>
      <c r="E6" s="5" t="s">
        <v>10</v>
      </c>
    </row>
    <row r="7" spans="1:5">
      <c r="A7" s="5" t="s">
        <v>11</v>
      </c>
      <c r="B7" s="5" t="s">
        <v>12</v>
      </c>
      <c r="C7" s="7">
        <v>0.0075</v>
      </c>
      <c r="D7" s="6">
        <f>C7*100</f>
        <v>0</v>
      </c>
      <c r="E7" s="5" t="s">
        <v>13</v>
      </c>
    </row>
    <row r="8" spans="1:5">
      <c r="A8" s="5" t="s">
        <v>14</v>
      </c>
      <c r="B8" s="5" t="s">
        <v>15</v>
      </c>
      <c r="C8" s="7">
        <v>0.0005</v>
      </c>
      <c r="D8" s="6">
        <f>C8*100</f>
        <v>0</v>
      </c>
      <c r="E8" s="5" t="s">
        <v>16</v>
      </c>
    </row>
    <row r="9" spans="1:5">
      <c r="A9" s="8" t="s">
        <v>17</v>
      </c>
      <c r="B9" s="8" t="s">
        <v>18</v>
      </c>
      <c r="C9" s="9" t="s">
        <v>19</v>
      </c>
      <c r="D9" s="10">
        <f>SUM(D6:D8)</f>
        <v>0</v>
      </c>
      <c r="E9" s="8" t="s">
        <v>20</v>
      </c>
    </row>
    <row r="10" spans="1:5">
      <c r="A10" s="8" t="s">
        <v>21</v>
      </c>
      <c r="B10" s="8" t="s">
        <v>22</v>
      </c>
      <c r="C10" s="9" t="s">
        <v>19</v>
      </c>
      <c r="D10" s="10">
        <f>D9*30</f>
        <v>0</v>
      </c>
      <c r="E10" s="8" t="s">
        <v>23</v>
      </c>
    </row>
    <row r="12" spans="1:5">
      <c r="A12" s="3" t="s">
        <v>24</v>
      </c>
    </row>
    <row r="13" spans="1:5">
      <c r="A13" s="11" t="s">
        <v>25</v>
      </c>
      <c r="B13" s="11" t="s">
        <v>26</v>
      </c>
      <c r="C13" s="11" t="s">
        <v>27</v>
      </c>
      <c r="D13" s="11" t="s">
        <v>28</v>
      </c>
      <c r="E13" s="11" t="s">
        <v>29</v>
      </c>
    </row>
    <row r="14" spans="1:5">
      <c r="A14" s="5" t="s">
        <v>30</v>
      </c>
      <c r="B14" s="5" t="s">
        <v>31</v>
      </c>
      <c r="C14" s="6">
        <v>350</v>
      </c>
      <c r="D14" s="9" t="s">
        <v>19</v>
      </c>
      <c r="E14" s="9" t="s">
        <v>19</v>
      </c>
    </row>
    <row r="15" spans="1:5">
      <c r="A15" s="5" t="s">
        <v>32</v>
      </c>
      <c r="B15" s="5" t="s">
        <v>33</v>
      </c>
      <c r="C15" s="6">
        <f>C14/1000</f>
        <v>0</v>
      </c>
      <c r="D15" s="9" t="s">
        <v>19</v>
      </c>
      <c r="E15" s="9" t="s">
        <v>19</v>
      </c>
    </row>
    <row r="16" spans="1:5">
      <c r="A16" s="5" t="s">
        <v>34</v>
      </c>
      <c r="B16" s="5" t="s">
        <v>35</v>
      </c>
      <c r="C16" s="12">
        <v>0.3</v>
      </c>
      <c r="D16" s="9" t="s">
        <v>19</v>
      </c>
      <c r="E16" s="9" t="s">
        <v>19</v>
      </c>
    </row>
    <row r="17" spans="1:5">
      <c r="A17" s="5" t="s">
        <v>36</v>
      </c>
      <c r="B17" s="5" t="s">
        <v>37</v>
      </c>
      <c r="C17" s="9" t="s">
        <v>38</v>
      </c>
      <c r="D17" s="13">
        <v>30</v>
      </c>
      <c r="E17" s="13">
        <v>900</v>
      </c>
    </row>
    <row r="18" spans="1:5">
      <c r="A18" s="8" t="s">
        <v>39</v>
      </c>
      <c r="B18" s="8" t="s">
        <v>40</v>
      </c>
      <c r="C18" s="9" t="s">
        <v>19</v>
      </c>
      <c r="D18" s="10">
        <f>D17*C15</f>
        <v>0</v>
      </c>
      <c r="E18" s="10">
        <f>D18*30</f>
        <v>0</v>
      </c>
    </row>
    <row r="19" spans="1:5">
      <c r="A19" s="5" t="s">
        <v>41</v>
      </c>
      <c r="B19" s="5" t="s">
        <v>42</v>
      </c>
      <c r="C19" s="6">
        <v>199</v>
      </c>
      <c r="D19" s="9" t="s">
        <v>19</v>
      </c>
      <c r="E19" s="6">
        <v>199</v>
      </c>
    </row>
    <row r="21" spans="1:5">
      <c r="A21" s="3" t="s">
        <v>43</v>
      </c>
    </row>
    <row r="22" spans="1:5">
      <c r="A22" s="14" t="s">
        <v>44</v>
      </c>
      <c r="B22" s="10">
        <f>E18</f>
        <v>0</v>
      </c>
    </row>
    <row r="23" spans="1:5">
      <c r="A23" s="14" t="s">
        <v>45</v>
      </c>
      <c r="B23" s="15">
        <f>D10</f>
        <v>0</v>
      </c>
    </row>
    <row r="24" spans="1:5">
      <c r="A24" s="14" t="s">
        <v>46</v>
      </c>
      <c r="B24" s="10">
        <f>B22-B23</f>
        <v>0</v>
      </c>
    </row>
    <row r="25" spans="1:5">
      <c r="A25" s="14" t="s">
        <v>47</v>
      </c>
      <c r="B25" s="16">
        <f>B22/B23</f>
        <v>0</v>
      </c>
    </row>
  </sheetData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2F6"/>
  </sheetPr>
  <dimension ref="A1:E19"/>
  <sheetViews>
    <sheetView workbookViewId="0"/>
  </sheetViews>
  <sheetFormatPr defaultRowHeight="15"/>
  <cols>
    <col min="1" max="1" width="38.7109375" customWidth="1"/>
    <col min="2" max="2" width="18.7109375" customWidth="1"/>
    <col min="3" max="3" width="26.7109375" customWidth="1"/>
    <col min="4" max="4" width="46.7109375" customWidth="1"/>
    <col min="5" max="5" width="25.7109375" customWidth="1"/>
  </cols>
  <sheetData>
    <row r="1" spans="1:5">
      <c r="A1" s="1" t="s">
        <v>48</v>
      </c>
    </row>
    <row r="2" spans="1:5">
      <c r="A2" s="2" t="s">
        <v>49</v>
      </c>
    </row>
    <row r="4" spans="1: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</row>
    <row r="5" spans="1:5">
      <c r="A5" s="5" t="s">
        <v>55</v>
      </c>
      <c r="B5" s="13">
        <v>1000</v>
      </c>
      <c r="C5" s="13">
        <v>1000</v>
      </c>
      <c r="D5" s="5" t="s">
        <v>56</v>
      </c>
      <c r="E5" s="9" t="s">
        <v>19</v>
      </c>
    </row>
    <row r="6" spans="1:5">
      <c r="A6" s="5" t="s">
        <v>57</v>
      </c>
      <c r="B6" s="13">
        <v>100</v>
      </c>
      <c r="C6" s="13">
        <v>3000</v>
      </c>
      <c r="D6" s="5" t="s">
        <v>58</v>
      </c>
      <c r="E6" s="9" t="s">
        <v>19</v>
      </c>
    </row>
    <row r="7" spans="1:5">
      <c r="A7" s="5" t="s">
        <v>59</v>
      </c>
      <c r="B7" s="13">
        <f>B5*B6</f>
        <v>0</v>
      </c>
      <c r="C7" s="13">
        <f>B7*30</f>
        <v>0</v>
      </c>
      <c r="D7" s="5" t="s">
        <v>60</v>
      </c>
      <c r="E7" s="9" t="s">
        <v>19</v>
      </c>
    </row>
    <row r="8" spans="1:5">
      <c r="A8" s="5" t="s">
        <v>61</v>
      </c>
      <c r="B8" s="13">
        <f>B7*0.3</f>
        <v>0</v>
      </c>
      <c r="C8" s="13">
        <f>B8*30</f>
        <v>0</v>
      </c>
      <c r="D8" s="5" t="s">
        <v>62</v>
      </c>
      <c r="E8" s="9" t="s">
        <v>19</v>
      </c>
    </row>
    <row r="9" spans="1:5">
      <c r="A9" s="5" t="s">
        <v>63</v>
      </c>
      <c r="B9" s="13">
        <f>B8</f>
        <v>0</v>
      </c>
      <c r="C9" s="13">
        <f>B8*30</f>
        <v>0</v>
      </c>
      <c r="D9" s="5" t="s">
        <v>64</v>
      </c>
      <c r="E9" s="9" t="s">
        <v>19</v>
      </c>
    </row>
    <row r="10" spans="1:5">
      <c r="A10" s="5" t="s">
        <v>30</v>
      </c>
      <c r="B10" s="9" t="s">
        <v>19</v>
      </c>
      <c r="C10" s="9" t="s">
        <v>19</v>
      </c>
      <c r="D10" s="5" t="s">
        <v>65</v>
      </c>
      <c r="E10" s="9" t="s">
        <v>19</v>
      </c>
    </row>
    <row r="11" spans="1:5">
      <c r="A11" s="8" t="s">
        <v>66</v>
      </c>
      <c r="B11" s="9" t="s">
        <v>19</v>
      </c>
      <c r="C11" s="9" t="s">
        <v>19</v>
      </c>
      <c r="D11" s="5" t="s">
        <v>67</v>
      </c>
      <c r="E11" s="10">
        <f>(C9/1000)*350</f>
        <v>0</v>
      </c>
    </row>
    <row r="12" spans="1:5">
      <c r="A12" s="5" t="s">
        <v>68</v>
      </c>
      <c r="B12" s="13">
        <f>B5*0.35</f>
        <v>0</v>
      </c>
      <c r="C12" s="13">
        <f>B12*30</f>
        <v>0</v>
      </c>
      <c r="D12" s="5" t="s">
        <v>69</v>
      </c>
      <c r="E12" s="6">
        <f>C12</f>
        <v>0</v>
      </c>
    </row>
    <row r="13" spans="1:5">
      <c r="A13" s="5" t="s">
        <v>70</v>
      </c>
      <c r="B13" s="13">
        <f>B7*0.0075</f>
        <v>0</v>
      </c>
      <c r="C13" s="13">
        <f>B13*30</f>
        <v>0</v>
      </c>
      <c r="D13" s="5" t="s">
        <v>71</v>
      </c>
      <c r="E13" s="6">
        <f>C13</f>
        <v>0</v>
      </c>
    </row>
    <row r="14" spans="1:5">
      <c r="A14" s="5" t="s">
        <v>72</v>
      </c>
      <c r="B14" s="13">
        <v>100</v>
      </c>
      <c r="C14" s="13">
        <v>3000</v>
      </c>
      <c r="D14" s="5" t="s">
        <v>73</v>
      </c>
      <c r="E14" s="6">
        <f>C14</f>
        <v>0</v>
      </c>
    </row>
    <row r="15" spans="1:5">
      <c r="A15" s="17" t="s">
        <v>74</v>
      </c>
      <c r="B15" s="9" t="s">
        <v>19</v>
      </c>
      <c r="C15" s="9" t="s">
        <v>19</v>
      </c>
      <c r="D15" s="5" t="s">
        <v>75</v>
      </c>
      <c r="E15" s="15">
        <f>SUM(E12:E14)</f>
        <v>0</v>
      </c>
    </row>
    <row r="16" spans="1:5">
      <c r="A16" s="8" t="s">
        <v>76</v>
      </c>
      <c r="B16" s="9" t="s">
        <v>19</v>
      </c>
      <c r="C16" s="9" t="s">
        <v>19</v>
      </c>
      <c r="D16" s="5" t="s">
        <v>77</v>
      </c>
      <c r="E16" s="10">
        <f>E11-E15</f>
        <v>0</v>
      </c>
    </row>
    <row r="17" spans="1:5">
      <c r="A17" s="8" t="s">
        <v>78</v>
      </c>
      <c r="B17" s="9" t="s">
        <v>19</v>
      </c>
      <c r="C17" s="9" t="s">
        <v>19</v>
      </c>
      <c r="D17" s="5" t="s">
        <v>79</v>
      </c>
      <c r="E17" s="18">
        <f>E16/E11</f>
        <v>0</v>
      </c>
    </row>
    <row r="18" spans="1:5">
      <c r="A18" s="5" t="s">
        <v>80</v>
      </c>
      <c r="B18" s="9" t="s">
        <v>19</v>
      </c>
      <c r="C18" s="9" t="s">
        <v>19</v>
      </c>
      <c r="D18" s="5" t="s">
        <v>81</v>
      </c>
      <c r="E18" s="6">
        <f>E11/B5</f>
        <v>0</v>
      </c>
    </row>
    <row r="19" spans="1:5">
      <c r="A19" s="5" t="s">
        <v>82</v>
      </c>
      <c r="B19" s="9" t="s">
        <v>19</v>
      </c>
      <c r="C19" s="9" t="s">
        <v>19</v>
      </c>
      <c r="D19" s="5" t="s">
        <v>83</v>
      </c>
      <c r="E19" s="6">
        <f>E11/10</f>
        <v>0</v>
      </c>
    </row>
  </sheetData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5CF6"/>
  </sheetPr>
  <dimension ref="A1:E21"/>
  <sheetViews>
    <sheetView workbookViewId="0"/>
  </sheetViews>
  <sheetFormatPr defaultRowHeight="15"/>
  <cols>
    <col min="1" max="1" width="38.7109375" customWidth="1"/>
    <col min="2" max="2" width="22.7109375" customWidth="1"/>
    <col min="3" max="3" width="20.7109375" customWidth="1"/>
    <col min="4" max="4" width="46.7109375" customWidth="1"/>
    <col min="5" max="5" width="26.7109375" customWidth="1"/>
  </cols>
  <sheetData>
    <row r="1" spans="1:5">
      <c r="A1" s="1" t="s">
        <v>84</v>
      </c>
    </row>
    <row r="2" spans="1:5">
      <c r="A2" s="2" t="s">
        <v>85</v>
      </c>
    </row>
    <row r="4" spans="1:5">
      <c r="A4" s="11" t="s">
        <v>86</v>
      </c>
      <c r="B4" s="11" t="s">
        <v>87</v>
      </c>
      <c r="C4" s="11" t="s">
        <v>51</v>
      </c>
      <c r="D4" s="11" t="s">
        <v>88</v>
      </c>
      <c r="E4" s="11" t="s">
        <v>54</v>
      </c>
    </row>
    <row r="5" spans="1:5">
      <c r="A5" s="5" t="s">
        <v>89</v>
      </c>
      <c r="B5" s="13">
        <v>1000</v>
      </c>
      <c r="C5" s="13">
        <v>1000</v>
      </c>
      <c r="D5" s="5" t="s">
        <v>90</v>
      </c>
      <c r="E5" s="9" t="s">
        <v>19</v>
      </c>
    </row>
    <row r="6" spans="1:5">
      <c r="A6" s="5" t="s">
        <v>91</v>
      </c>
      <c r="B6" s="13">
        <v>10000</v>
      </c>
      <c r="C6" s="13">
        <v>333.33</v>
      </c>
      <c r="D6" s="5" t="s">
        <v>92</v>
      </c>
      <c r="E6" s="9" t="s">
        <v>19</v>
      </c>
    </row>
    <row r="7" spans="1:5">
      <c r="A7" s="8" t="s">
        <v>93</v>
      </c>
      <c r="B7" s="13">
        <f>B5*B6</f>
        <v>0</v>
      </c>
      <c r="C7" s="13">
        <f>B7/30</f>
        <v>0</v>
      </c>
      <c r="D7" s="5" t="s">
        <v>94</v>
      </c>
      <c r="E7" s="19">
        <f>B7</f>
        <v>0</v>
      </c>
    </row>
    <row r="8" spans="1:5">
      <c r="A8" s="5" t="s">
        <v>95</v>
      </c>
      <c r="B8" s="13">
        <v>350</v>
      </c>
      <c r="C8" s="13">
        <v>350</v>
      </c>
      <c r="D8" s="5" t="s">
        <v>96</v>
      </c>
      <c r="E8" s="9" t="s">
        <v>19</v>
      </c>
    </row>
    <row r="9" spans="1:5">
      <c r="A9" s="5" t="s">
        <v>97</v>
      </c>
      <c r="B9" s="13">
        <f>(E7/B8)*1000</f>
        <v>0</v>
      </c>
      <c r="C9" s="13">
        <f>B9/30</f>
        <v>0</v>
      </c>
      <c r="D9" s="5" t="s">
        <v>98</v>
      </c>
      <c r="E9" s="9" t="s">
        <v>19</v>
      </c>
    </row>
    <row r="10" spans="1:5">
      <c r="A10" s="5" t="s">
        <v>99</v>
      </c>
      <c r="B10" s="12">
        <v>0.3</v>
      </c>
      <c r="C10" s="12">
        <v>0.3</v>
      </c>
      <c r="D10" s="5" t="s">
        <v>100</v>
      </c>
      <c r="E10" s="9" t="s">
        <v>19</v>
      </c>
    </row>
    <row r="11" spans="1:5">
      <c r="A11" s="5" t="s">
        <v>101</v>
      </c>
      <c r="B11" s="13">
        <f>B9/B10</f>
        <v>0</v>
      </c>
      <c r="C11" s="13">
        <f>B11/30</f>
        <v>0</v>
      </c>
      <c r="D11" s="5" t="s">
        <v>102</v>
      </c>
      <c r="E11" s="9" t="s">
        <v>19</v>
      </c>
    </row>
    <row r="12" spans="1:5">
      <c r="A12" s="5" t="s">
        <v>103</v>
      </c>
      <c r="B12" s="13">
        <v>50</v>
      </c>
      <c r="C12" s="13">
        <v>50</v>
      </c>
      <c r="D12" s="5" t="s">
        <v>104</v>
      </c>
      <c r="E12" s="9" t="s">
        <v>19</v>
      </c>
    </row>
    <row r="13" spans="1:5">
      <c r="A13" s="5" t="s">
        <v>105</v>
      </c>
      <c r="B13" s="13">
        <f>C11/C12</f>
        <v>0</v>
      </c>
      <c r="C13" s="13">
        <f>B13</f>
        <v>0</v>
      </c>
      <c r="D13" s="5" t="s">
        <v>106</v>
      </c>
      <c r="E13" s="9" t="s">
        <v>19</v>
      </c>
    </row>
    <row r="14" spans="1:5">
      <c r="A14" s="5" t="s">
        <v>68</v>
      </c>
      <c r="B14" s="13">
        <f>B13*0.35*30</f>
        <v>0</v>
      </c>
      <c r="C14" s="13">
        <f>B13*0.35</f>
        <v>0</v>
      </c>
      <c r="D14" s="5" t="s">
        <v>107</v>
      </c>
      <c r="E14" s="20">
        <f>B14</f>
        <v>0</v>
      </c>
    </row>
    <row r="15" spans="1:5">
      <c r="A15" s="5" t="s">
        <v>70</v>
      </c>
      <c r="B15" s="13">
        <f>B11*0.0075</f>
        <v>0</v>
      </c>
      <c r="C15" s="13">
        <f>C11*0.0075</f>
        <v>0</v>
      </c>
      <c r="D15" s="5" t="s">
        <v>108</v>
      </c>
      <c r="E15" s="20">
        <f>B15</f>
        <v>0</v>
      </c>
    </row>
    <row r="16" spans="1:5">
      <c r="A16" s="5" t="s">
        <v>109</v>
      </c>
      <c r="B16" s="13">
        <v>50000</v>
      </c>
      <c r="C16" s="13">
        <v>1666.67</v>
      </c>
      <c r="D16" s="5" t="s">
        <v>110</v>
      </c>
      <c r="E16" s="20">
        <f>B16</f>
        <v>0</v>
      </c>
    </row>
    <row r="17" spans="1:5">
      <c r="A17" s="5" t="s">
        <v>111</v>
      </c>
      <c r="B17" s="13">
        <v>100000</v>
      </c>
      <c r="C17" s="13">
        <v>3333.33</v>
      </c>
      <c r="D17" s="5" t="s">
        <v>112</v>
      </c>
      <c r="E17" s="20">
        <f>B17</f>
        <v>0</v>
      </c>
    </row>
    <row r="18" spans="1:5">
      <c r="A18" s="17" t="s">
        <v>74</v>
      </c>
      <c r="B18" s="9" t="s">
        <v>19</v>
      </c>
      <c r="C18" s="9" t="s">
        <v>19</v>
      </c>
      <c r="D18" s="5" t="s">
        <v>113</v>
      </c>
      <c r="E18" s="15">
        <f>SUM(E14:E17)</f>
        <v>0</v>
      </c>
    </row>
    <row r="19" spans="1:5">
      <c r="A19" s="8" t="s">
        <v>114</v>
      </c>
      <c r="B19" s="9" t="s">
        <v>19</v>
      </c>
      <c r="C19" s="9" t="s">
        <v>19</v>
      </c>
      <c r="D19" s="5" t="s">
        <v>115</v>
      </c>
      <c r="E19" s="19">
        <f>E7-E18</f>
        <v>0</v>
      </c>
    </row>
    <row r="20" spans="1:5">
      <c r="A20" s="8" t="s">
        <v>78</v>
      </c>
      <c r="B20" s="9" t="s">
        <v>19</v>
      </c>
      <c r="C20" s="9" t="s">
        <v>19</v>
      </c>
      <c r="D20" s="5" t="s">
        <v>79</v>
      </c>
      <c r="E20" s="18">
        <f>E19/E7</f>
        <v>0</v>
      </c>
    </row>
    <row r="21" spans="1:5">
      <c r="A21" s="8" t="s">
        <v>116</v>
      </c>
      <c r="B21" s="9" t="s">
        <v>19</v>
      </c>
      <c r="C21" s="9" t="s">
        <v>19</v>
      </c>
      <c r="D21" s="5" t="s">
        <v>117</v>
      </c>
      <c r="E21" s="19">
        <f>E19*12</f>
        <v>0</v>
      </c>
    </row>
  </sheetData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59E0B"/>
  </sheetPr>
  <dimension ref="A1:J17"/>
  <sheetViews>
    <sheetView workbookViewId="0"/>
  </sheetViews>
  <sheetFormatPr defaultRowHeight="15"/>
  <cols>
    <col min="1" max="2" width="14.7109375" customWidth="1"/>
    <col min="3" max="3" width="18.7109375" customWidth="1"/>
    <col min="4" max="4" width="16.7109375" customWidth="1"/>
    <col min="5" max="6" width="18.7109375" customWidth="1"/>
    <col min="7" max="7" width="20.7109375" customWidth="1"/>
    <col min="8" max="8" width="18.7109375" customWidth="1"/>
    <col min="9" max="9" width="20.7109375" customWidth="1"/>
    <col min="10" max="10" width="14.7109375" customWidth="1"/>
  </cols>
  <sheetData>
    <row r="1" spans="1:10">
      <c r="A1" s="1" t="s">
        <v>118</v>
      </c>
    </row>
    <row r="2" spans="1:10">
      <c r="A2" s="2" t="s">
        <v>119</v>
      </c>
    </row>
    <row r="4" spans="1:10">
      <c r="A4" s="4" t="s">
        <v>120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126</v>
      </c>
      <c r="H4" s="4" t="s">
        <v>127</v>
      </c>
      <c r="I4" s="4" t="s">
        <v>128</v>
      </c>
      <c r="J4" s="4" t="s">
        <v>129</v>
      </c>
    </row>
    <row r="5" spans="1:10">
      <c r="A5" s="9" t="s">
        <v>130</v>
      </c>
      <c r="B5" s="13">
        <v>500</v>
      </c>
      <c r="C5" s="13">
        <v>1500000</v>
      </c>
      <c r="D5" s="13">
        <v>5</v>
      </c>
      <c r="E5" s="20">
        <v>157500</v>
      </c>
      <c r="F5" s="20">
        <v>9950</v>
      </c>
      <c r="G5" s="20">
        <f>E5+F5</f>
        <v>0</v>
      </c>
      <c r="H5" s="20">
        <v>21500</v>
      </c>
      <c r="I5" s="19">
        <f>G5-H5</f>
        <v>0</v>
      </c>
      <c r="J5" s="12">
        <f>I5/G5</f>
        <v>0</v>
      </c>
    </row>
    <row r="6" spans="1:10">
      <c r="A6" s="9" t="s">
        <v>131</v>
      </c>
      <c r="B6" s="13">
        <v>1200</v>
      </c>
      <c r="C6" s="13">
        <v>3600000</v>
      </c>
      <c r="D6" s="13">
        <v>12</v>
      </c>
      <c r="E6" s="20">
        <v>378000</v>
      </c>
      <c r="F6" s="20">
        <v>29850</v>
      </c>
      <c r="G6" s="20">
        <f>E6+F6</f>
        <v>0</v>
      </c>
      <c r="H6" s="20">
        <v>49500</v>
      </c>
      <c r="I6" s="19">
        <f>G6-H6</f>
        <v>0</v>
      </c>
      <c r="J6" s="12">
        <f>I6/G6</f>
        <v>0</v>
      </c>
    </row>
    <row r="7" spans="1:10">
      <c r="A7" s="9" t="s">
        <v>132</v>
      </c>
      <c r="B7" s="13">
        <v>2500</v>
      </c>
      <c r="C7" s="13">
        <v>7500000</v>
      </c>
      <c r="D7" s="13">
        <v>25</v>
      </c>
      <c r="E7" s="20">
        <v>787500</v>
      </c>
      <c r="F7" s="20">
        <v>79600</v>
      </c>
      <c r="G7" s="20">
        <f>E7+F7</f>
        <v>0</v>
      </c>
      <c r="H7" s="20">
        <v>98000</v>
      </c>
      <c r="I7" s="19">
        <f>G7-H7</f>
        <v>0</v>
      </c>
      <c r="J7" s="12">
        <f>I7/G7</f>
        <v>0</v>
      </c>
    </row>
    <row r="8" spans="1:10">
      <c r="A8" s="9" t="s">
        <v>133</v>
      </c>
      <c r="B8" s="13">
        <v>5000</v>
      </c>
      <c r="C8" s="13">
        <v>15000000</v>
      </c>
      <c r="D8" s="13">
        <v>50</v>
      </c>
      <c r="E8" s="20">
        <v>1575000</v>
      </c>
      <c r="F8" s="20">
        <v>179100</v>
      </c>
      <c r="G8" s="20">
        <f>E8+F8</f>
        <v>0</v>
      </c>
      <c r="H8" s="20">
        <v>192000</v>
      </c>
      <c r="I8" s="19">
        <f>G8-H8</f>
        <v>0</v>
      </c>
      <c r="J8" s="12">
        <f>I8/G8</f>
        <v>0</v>
      </c>
    </row>
    <row r="9" spans="1:10">
      <c r="A9" s="9" t="s">
        <v>134</v>
      </c>
      <c r="B9" s="13">
        <v>8000</v>
      </c>
      <c r="C9" s="13">
        <v>24000000</v>
      </c>
      <c r="D9" s="13">
        <v>80</v>
      </c>
      <c r="E9" s="20">
        <v>2520000</v>
      </c>
      <c r="F9" s="20">
        <v>318400</v>
      </c>
      <c r="G9" s="20">
        <f>E9+F9</f>
        <v>0</v>
      </c>
      <c r="H9" s="20">
        <v>305000</v>
      </c>
      <c r="I9" s="19">
        <f>G9-H9</f>
        <v>0</v>
      </c>
      <c r="J9" s="12">
        <f>I9/G9</f>
        <v>0</v>
      </c>
    </row>
    <row r="10" spans="1:10">
      <c r="A10" s="9" t="s">
        <v>135</v>
      </c>
      <c r="B10" s="13">
        <v>12000</v>
      </c>
      <c r="C10" s="13">
        <v>36000000</v>
      </c>
      <c r="D10" s="13">
        <v>120</v>
      </c>
      <c r="E10" s="20">
        <v>3780000</v>
      </c>
      <c r="F10" s="20">
        <v>497500</v>
      </c>
      <c r="G10" s="20">
        <f>E10+F10</f>
        <v>0</v>
      </c>
      <c r="H10" s="20">
        <v>455000</v>
      </c>
      <c r="I10" s="19">
        <f>G10-H10</f>
        <v>0</v>
      </c>
      <c r="J10" s="12">
        <f>I10/G10</f>
        <v>0</v>
      </c>
    </row>
    <row r="11" spans="1:10">
      <c r="A11" s="9" t="s">
        <v>136</v>
      </c>
      <c r="B11" s="13">
        <v>18000</v>
      </c>
      <c r="C11" s="13">
        <v>54000000</v>
      </c>
      <c r="D11" s="13">
        <v>180</v>
      </c>
      <c r="E11" s="20">
        <v>5670000</v>
      </c>
      <c r="F11" s="20">
        <v>756200</v>
      </c>
      <c r="G11" s="20">
        <f>E11+F11</f>
        <v>0</v>
      </c>
      <c r="H11" s="20">
        <v>675000</v>
      </c>
      <c r="I11" s="19">
        <f>G11-H11</f>
        <v>0</v>
      </c>
      <c r="J11" s="12">
        <f>I11/G11</f>
        <v>0</v>
      </c>
    </row>
    <row r="12" spans="1:10">
      <c r="A12" s="9" t="s">
        <v>137</v>
      </c>
      <c r="B12" s="13">
        <v>25000</v>
      </c>
      <c r="C12" s="13">
        <v>75000000</v>
      </c>
      <c r="D12" s="13">
        <v>250</v>
      </c>
      <c r="E12" s="20">
        <v>7875000</v>
      </c>
      <c r="F12" s="20">
        <v>1094500</v>
      </c>
      <c r="G12" s="20">
        <f>E12+F12</f>
        <v>0</v>
      </c>
      <c r="H12" s="20">
        <v>930000</v>
      </c>
      <c r="I12" s="19">
        <f>G12-H12</f>
        <v>0</v>
      </c>
      <c r="J12" s="12">
        <f>I12/G12</f>
        <v>0</v>
      </c>
    </row>
    <row r="13" spans="1:10">
      <c r="A13" s="9" t="s">
        <v>138</v>
      </c>
      <c r="B13" s="13">
        <v>32000</v>
      </c>
      <c r="C13" s="13">
        <v>96000000</v>
      </c>
      <c r="D13" s="13">
        <v>320</v>
      </c>
      <c r="E13" s="20">
        <v>10080000</v>
      </c>
      <c r="F13" s="20">
        <v>1432800</v>
      </c>
      <c r="G13" s="20">
        <f>E13+F13</f>
        <v>0</v>
      </c>
      <c r="H13" s="20">
        <v>1180000</v>
      </c>
      <c r="I13" s="19">
        <f>G13-H13</f>
        <v>0</v>
      </c>
      <c r="J13" s="12">
        <f>I13/G13</f>
        <v>0</v>
      </c>
    </row>
    <row r="14" spans="1:10">
      <c r="A14" s="9" t="s">
        <v>139</v>
      </c>
      <c r="B14" s="13">
        <v>40000</v>
      </c>
      <c r="C14" s="13">
        <v>120000000</v>
      </c>
      <c r="D14" s="13">
        <v>400</v>
      </c>
      <c r="E14" s="20">
        <v>12600000</v>
      </c>
      <c r="F14" s="20">
        <v>1830800</v>
      </c>
      <c r="G14" s="20">
        <f>E14+F14</f>
        <v>0</v>
      </c>
      <c r="H14" s="20">
        <v>1470000</v>
      </c>
      <c r="I14" s="19">
        <f>G14-H14</f>
        <v>0</v>
      </c>
      <c r="J14" s="12">
        <f>I14/G14</f>
        <v>0</v>
      </c>
    </row>
    <row r="15" spans="1:10">
      <c r="A15" s="9" t="s">
        <v>140</v>
      </c>
      <c r="B15" s="13">
        <v>45000</v>
      </c>
      <c r="C15" s="13">
        <v>135000000</v>
      </c>
      <c r="D15" s="13">
        <v>450</v>
      </c>
      <c r="E15" s="20">
        <v>14175000</v>
      </c>
      <c r="F15" s="20">
        <v>2109400</v>
      </c>
      <c r="G15" s="20">
        <f>E15+F15</f>
        <v>0</v>
      </c>
      <c r="H15" s="20">
        <v>1640000</v>
      </c>
      <c r="I15" s="19">
        <f>G15-H15</f>
        <v>0</v>
      </c>
      <c r="J15" s="12">
        <f>I15/G15</f>
        <v>0</v>
      </c>
    </row>
    <row r="16" spans="1:10">
      <c r="A16" s="9" t="s">
        <v>141</v>
      </c>
      <c r="B16" s="13">
        <v>50000</v>
      </c>
      <c r="C16" s="13">
        <v>150000000</v>
      </c>
      <c r="D16" s="13">
        <v>500</v>
      </c>
      <c r="E16" s="20">
        <v>15750000</v>
      </c>
      <c r="F16" s="20">
        <v>2388000</v>
      </c>
      <c r="G16" s="20">
        <f>E16+F16</f>
        <v>0</v>
      </c>
      <c r="H16" s="20">
        <v>1820000</v>
      </c>
      <c r="I16" s="19">
        <f>G16-H16</f>
        <v>0</v>
      </c>
      <c r="J16" s="12">
        <f>I16/G16</f>
        <v>0</v>
      </c>
    </row>
    <row r="17" spans="1:10">
      <c r="A17" s="8" t="s">
        <v>142</v>
      </c>
      <c r="B17" s="19">
        <f>AVERAGE(B5:B16)</f>
        <v>0</v>
      </c>
      <c r="C17" s="19">
        <f>SUM(C5:C16)</f>
        <v>0</v>
      </c>
      <c r="D17" s="19">
        <f>AVERAGE(D5:D16)</f>
        <v>0</v>
      </c>
      <c r="E17" s="19">
        <f>SUM(E5:E16)</f>
        <v>0</v>
      </c>
      <c r="F17" s="19">
        <f>SUM(F5:F16)</f>
        <v>0</v>
      </c>
      <c r="G17" s="19">
        <f>SUM(G5:G16)</f>
        <v>0</v>
      </c>
      <c r="H17" s="19">
        <f>SUM(H5:H16)</f>
        <v>0</v>
      </c>
      <c r="I17" s="19">
        <f>SUM(I5:I16)</f>
        <v>0</v>
      </c>
      <c r="J17" s="18">
        <f>I17/G17</f>
        <v>0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Economics &amp; Core Logic</vt:lpstr>
      <vt:lpstr>Scenario 1 (1k Users 10 Brands)</vt:lpstr>
      <vt:lpstr>Scenario 2 (1,000 Brands Scale)</vt:lpstr>
      <vt:lpstr>12-Month Growth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2026-10-30T07:40:35Z</dcterms:created>
  <dcterms:modified xsi:type="dcterms:W3CDTF">2026-10-30T07:40:35Z</dcterms:modified>
</cp:coreProperties>
</file>