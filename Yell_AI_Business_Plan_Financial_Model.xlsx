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P Tiers &amp; Unit Economics" sheetId="1" r:id="rId1"/>
    <sheet name="Launch Phase (1,000 DAU)" sheetId="2" r:id="rId2"/>
    <sheet name="Scale Phase (1,000 Brands)" sheetId="3" r:id="rId3"/>
    <sheet name="12-Month Growth Projections" sheetId="4" r:id="rId4"/>
  </sheets>
  <calcPr calcId="124519" fullCalcOnLoad="1"/>
</workbook>
</file>

<file path=xl/sharedStrings.xml><?xml version="1.0" encoding="utf-8"?>
<sst xmlns="http://schemas.openxmlformats.org/spreadsheetml/2006/main" count="181" uniqueCount="148">
  <si>
    <t>YELL AI — FAIR USAGE POLICY (FUP) &amp; TIER VIABILITY MODEL</t>
  </si>
  <si>
    <t>Real Unit Economics based on Empirical Usage Data (Median 12 msgs/day, Peak 80 msgs/day)</t>
  </si>
  <si>
    <t>1. TIER SPECIFICATIONS &amp; LIMITS</t>
  </si>
  <si>
    <t>Plan Tier</t>
  </si>
  <si>
    <t>Monthly Price</t>
  </si>
  <si>
    <t>Daily Task Cap (FUP)</t>
  </si>
  <si>
    <t>Monthly Headroom</t>
  </si>
  <si>
    <t>Ad Experience</t>
  </si>
  <si>
    <t>Target User Persona</t>
  </si>
  <si>
    <t>Bharat Free</t>
  </si>
  <si>
    <t>Sponsored 1-line Perks</t>
  </si>
  <si>
    <t>Casual users, train trackers, students</t>
  </si>
  <si>
    <t>Yell Pro (Most Popular)</t>
  </si>
  <si>
    <t>100% Ad-Free</t>
  </si>
  <si>
    <t>Founders, builders, executives, power users</t>
  </si>
  <si>
    <t>Yell Business / Team</t>
  </si>
  <si>
    <t>100% Ad-Free + Priority</t>
  </si>
  <si>
    <t>Agencies, automated pipelines, heavy teams</t>
  </si>
  <si>
    <t>2. UNIT COST BREAKDOWN PER TURN</t>
  </si>
  <si>
    <t>Cost Component</t>
  </si>
  <si>
    <t>Pricing Basis</t>
  </si>
  <si>
    <t>Cost Per Turn (₹)</t>
  </si>
  <si>
    <t>Source / Benchmark</t>
  </si>
  <si>
    <t>Meta 24h Conversation Fee</t>
  </si>
  <si>
    <t>Per 24h session (amortized over 20 turns)</t>
  </si>
  <si>
    <t>₹0.35 flat per 24 hours / 20 turns avg</t>
  </si>
  <si>
    <t>Gemini 3.8 Flash Inference</t>
  </si>
  <si>
    <t>Tokens (~400 tokens per message turn)</t>
  </si>
  <si>
    <t>$0.075/1M input, $0.30/1M output tokens</t>
  </si>
  <si>
    <t>Cloud Run &amp; Redis Compute</t>
  </si>
  <si>
    <t>Serverless microservice in Mumbai</t>
  </si>
  <si>
    <t>Google Cloud Run asia-south1 auto-scale</t>
  </si>
  <si>
    <t>Total Cost Per Message Turn</t>
  </si>
  <si>
    <t>Sum of telecom, LLM &amp; hosting</t>
  </si>
  <si>
    <t>TOTAL BLENDED COST PER SINGLE TURN (2.55 PAIE)</t>
  </si>
  <si>
    <t>3. UNIT PROFITABILITY &amp; MARGIN EQUATION PER TIER</t>
  </si>
  <si>
    <t>Tier</t>
  </si>
  <si>
    <t>User Behavior</t>
  </si>
  <si>
    <t>Monthly Cost (₹)</t>
  </si>
  <si>
    <t>Monthly Revenue (₹)</t>
  </si>
  <si>
    <t>Net Profit / User (₹)</t>
  </si>
  <si>
    <t>Net Margin %</t>
  </si>
  <si>
    <t>Average 12 msgs/day (360 msgs/mo)</t>
  </si>
  <si>
    <t>Yell Pro (Typical User)</t>
  </si>
  <si>
    <t>Average 25 msgs/day (750 msgs/mo)</t>
  </si>
  <si>
    <t>Yell Pro (Worst Case Abuser)</t>
  </si>
  <si>
    <t>Maxes 80 msgs/day (2,400 msgs/mo)</t>
  </si>
  <si>
    <t>Yell Business (Typical User)</t>
  </si>
  <si>
    <t>Average 300 msgs/day (9,000 msgs/mo)</t>
  </si>
  <si>
    <t>Yell Business (Max Headroom)</t>
  </si>
  <si>
    <t>Maxes 1,000 msgs/day (30,000 msgs/mo)</t>
  </si>
  <si>
    <t>LAUNCH PHASE FINANCIAL MODEL: 1,000 DAU WITH FUP &amp; ADS</t>
  </si>
  <si>
    <t>Blended Revenue Model: Brand Ads + ₹99 Pro Subscribers + ₹999 Business Users</t>
  </si>
  <si>
    <t>Metric / Component</t>
  </si>
  <si>
    <t>Free Tier (90%)</t>
  </si>
  <si>
    <t>Paid Pro Tier (10%)</t>
  </si>
  <si>
    <t>Basis &amp; Calculation</t>
  </si>
  <si>
    <t>Total Impact (₹ / Month)</t>
  </si>
  <si>
    <t>Daily Active Users (DAU)</t>
  </si>
  <si>
    <t>1,000 DAU total (90% free, 10% Pro)</t>
  </si>
  <si>
    <t>-</t>
  </si>
  <si>
    <t>Average Messages / User / Day</t>
  </si>
  <si>
    <t>12 msgs for Free, 25 msgs for Pro</t>
  </si>
  <si>
    <t>Total Monthly Messages Processed</t>
  </si>
  <si>
    <t>324k free msgs + 75k Pro msgs = 399k msgs/mo</t>
  </si>
  <si>
    <t>Ad Impressions Delivered (30% free turns)</t>
  </si>
  <si>
    <t>97,200 ad impressions (Pro has 0 ads)</t>
  </si>
  <si>
    <t>Brand Ad Revenue (₹350 CPM across 10 Brands)</t>
  </si>
  <si>
    <t>10 brands paying ~₹3,400/mo each</t>
  </si>
  <si>
    <t>Subscription Revenue (₹99 Pro Plan)</t>
  </si>
  <si>
    <t>100 Pro users paying ₹99/month</t>
  </si>
  <si>
    <t>Business Plan Revenue (₹999/mo - 5 teams)</t>
  </si>
  <si>
    <t>5 startup teams on ₹999 Business plan</t>
  </si>
  <si>
    <t>GROSS MONTHLY REVENUE</t>
  </si>
  <si>
    <t>Ad Revenue + Pro Subs + Business Subs</t>
  </si>
  <si>
    <t>COGS: Meta WhatsApp Conversation Fees</t>
  </si>
  <si>
    <t>₹0.35 per 24h conversation window</t>
  </si>
  <si>
    <t>COGS: Gemini 3.8 Flash LLM Tokens</t>
  </si>
  <si>
    <t>399k turns * ₹0.0075 per turn</t>
  </si>
  <si>
    <t>COGS: Serverless Cloud Run &amp; Hosting</t>
  </si>
  <si>
    <t>Google Cloud Run in Mumbai (asia-south1)</t>
  </si>
  <si>
    <t>TOTAL MONTHLY OPERATING COST (COGS)</t>
  </si>
  <si>
    <t>Sum of telecom, LLM and hosting fees</t>
  </si>
  <si>
    <t>NET MONTHLY PROFIT (EBITDA)</t>
  </si>
  <si>
    <t>Gross Revenue - Operating Costs</t>
  </si>
  <si>
    <t>NET PROFIT MARGIN (%)</t>
  </si>
  <si>
    <t>Net Profit / Gross Revenue</t>
  </si>
  <si>
    <t>SCALE PHASE: 1,000 BRANDS + PAID SUBSCRIBERS</t>
  </si>
  <si>
    <t>Viable scale model with FUP protection against abuser drain</t>
  </si>
  <si>
    <t>Parameter / Driver</t>
  </si>
  <si>
    <t>Monthly Metric</t>
  </si>
  <si>
    <t>Daily Metric</t>
  </si>
  <si>
    <t>Assumptions &amp; Equations</t>
  </si>
  <si>
    <t>Financial Total (₹ / Month)</t>
  </si>
  <si>
    <t>Active Advertisers / Brands</t>
  </si>
  <si>
    <t>1,000 brands running campaigns via Brands Portal</t>
  </si>
  <si>
    <t>Average Monthly Ad Deposit Per Brand</t>
  </si>
  <si>
    <t>₹10,000 average prepaid ad wallet deposit per brand</t>
  </si>
  <si>
    <t>Gross Ad Revenue (Brands)</t>
  </si>
  <si>
    <t>1,000 brands * ₹10,000 / month</t>
  </si>
  <si>
    <t>Paying Pro Subscribers (₹99/mo)</t>
  </si>
  <si>
    <t>5,000 Pro users paying ₹99/month</t>
  </si>
  <si>
    <t>Paying Business Teams (₹999/mo)</t>
  </si>
  <si>
    <t>250 teams/agencies on ₹999 Business plan</t>
  </si>
  <si>
    <t>Ad Impressions Needed to Deliver</t>
  </si>
  <si>
    <t>₹1 Crore / ₹350 CPM = ~28.57 Million impressions</t>
  </si>
  <si>
    <t>Total Messages Required (30% ad density)</t>
  </si>
  <si>
    <t>28.57M impressions / 0.3 = 95.23M total message turns</t>
  </si>
  <si>
    <t>Daily Active Users (DAU) Needed</t>
  </si>
  <si>
    <t>95.2M turns / 450 msgs/free user/mo = ~211k Free DAU</t>
  </si>
  <si>
    <t>211,640 DAU * ₹0.35/day * 30 days</t>
  </si>
  <si>
    <t>COGS: Gemini 3.8 Flash Inference</t>
  </si>
  <si>
    <t>95,238,095 messages * ₹0.0075 / turn</t>
  </si>
  <si>
    <t>COGS: Cloud Infrastructure &amp; Redis</t>
  </si>
  <si>
    <t>High-throughput cluster + Cloud Run + Cloud SQL</t>
  </si>
  <si>
    <t>Customer Success &amp; Brand Operations</t>
  </si>
  <si>
    <t>Support team &amp; brand account management</t>
  </si>
  <si>
    <t>TOTAL MONTHLY OPERATING COST</t>
  </si>
  <si>
    <t>Total Delivery &amp; Platform Costs</t>
  </si>
  <si>
    <t>Gross Revenue - Total Costs</t>
  </si>
  <si>
    <t>ANNUALIZED NET PROFIT (ARR PROFIT)</t>
  </si>
  <si>
    <t>Monthly Net Profit * 12 Months</t>
  </si>
  <si>
    <t>YELL AI — 12-MONTH REVENUE &amp; PROFIT FORECAST</t>
  </si>
  <si>
    <t>Viable scale path: Free Ad Monetization + ₹99 Pro (80 FUP) + ₹999 Business (1,000 FUP)</t>
  </si>
  <si>
    <t>Month</t>
  </si>
  <si>
    <t>Total DAU</t>
  </si>
  <si>
    <t>Monthly Msgs</t>
  </si>
  <si>
    <t>Brand Sponsors</t>
  </si>
  <si>
    <t>Ad Rev (₹)</t>
  </si>
  <si>
    <t>Pro Subs (₹99)</t>
  </si>
  <si>
    <t>Biz Subs (₹999)</t>
  </si>
  <si>
    <t>Total Rev (₹)</t>
  </si>
  <si>
    <t>Total COGS (₹)</t>
  </si>
  <si>
    <t>Net Profit (₹)</t>
  </si>
  <si>
    <t>Margin %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</si>
  <si>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</si>
  <si>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</si>
  <si>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</si>
  <si>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</si>
  <si>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</si>
  <si>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</si>
  <si>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</si>
  <si>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</si>
  <si>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</si>
  <si>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</si>
  <si>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</si>
  <si>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</si>
  <si>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YEAR 1 TOTAL</t>
  </si>
</sst>
</file>

<file path=xl/styles.xml><?xml version="1.0" encoding="utf-8"?>
<styleSheet xmlns="http://schemas.openxmlformats.org/spreadsheetml/2006/main">
  <numFmts count="5">
    <numFmt numFmtId="164" formatCode="[$₹-4009] #,##0.00"/>
    <numFmt numFmtId="165" formatCode="#,##0"/>
    <numFmt numFmtId="166" formatCode="[$₹-4009] #,##0.0000"/>
    <numFmt numFmtId="167" formatCode="0.0%"/>
    <numFmt numFmtId="168" formatCode="[$₹-4009] #,##0"/>
  </numFmts>
  <fonts count="10">
    <font>
      <sz val="11"/>
      <color theme="1"/>
      <name val="Calibri"/>
      <family val="2"/>
      <scheme val="minor"/>
    </font>
    <font>
      <b/>
      <sz val="16"/>
      <color rgb="FF111827"/>
      <name val="Segoe UI"/>
      <family val="2"/>
    </font>
    <font>
      <i/>
      <sz val="10"/>
      <color rgb="FF4B5563"/>
      <name val="Segoe UI"/>
      <family val="2"/>
    </font>
    <font>
      <b/>
      <sz val="12"/>
      <color rgb="FF059669"/>
      <name val="Segoe UI"/>
      <family val="2"/>
    </font>
    <font>
      <b/>
      <sz val="10"/>
      <color rgb="FFFFFFFF"/>
      <name val="Segoe UI"/>
      <family val="2"/>
    </font>
    <font>
      <b/>
      <sz val="10"/>
      <color rgb="FF111827"/>
      <name val="Segoe UI"/>
      <family val="2"/>
    </font>
    <font>
      <sz val="10"/>
      <color rgb="FF1F2937"/>
      <name val="Segoe UI"/>
      <family val="2"/>
    </font>
    <font>
      <b/>
      <sz val="10"/>
      <color rgb="FF065F46"/>
      <name val="Segoe UI"/>
      <family val="2"/>
    </font>
    <font>
      <b/>
      <sz val="11"/>
      <color rgb="FF065F46"/>
      <name val="Segoe UI"/>
      <family val="2"/>
    </font>
    <font>
      <b/>
      <sz val="10"/>
      <color rgb="FF991B1B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065F46"/>
        <bgColor indexed="64"/>
      </patternFill>
    </fill>
    <fill>
      <patternFill patternType="solid">
        <fgColor rgb="FFFEF2F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0B98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10B981"/>
      </left>
      <right style="thin">
        <color rgb="FF10B981"/>
      </right>
      <top style="thin">
        <color rgb="FF10B981"/>
      </top>
      <bottom style="thin">
        <color rgb="FF10B981"/>
      </bottom>
      <diagonal/>
    </border>
    <border>
      <left style="thin">
        <color rgb="FFEF4444"/>
      </left>
      <right style="thin">
        <color rgb="FFEF4444"/>
      </right>
      <top style="thin">
        <color rgb="FFEF4444"/>
      </top>
      <bottom style="thin">
        <color rgb="FFEF444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2" borderId="2" xfId="0" applyFont="1" applyFill="1" applyBorder="1" applyAlignment="1">
      <alignment horizontal="center" vertical="center"/>
    </xf>
    <xf numFmtId="0" fontId="5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6" fillId="0" borderId="3" xfId="0" applyFont="1" applyBorder="1" applyAlignment="1">
      <alignment horizontal="center"/>
    </xf>
    <xf numFmtId="0" fontId="6" fillId="0" borderId="3" xfId="0" applyFont="1" applyBorder="1"/>
    <xf numFmtId="166" fontId="6" fillId="0" borderId="3" xfId="0" applyNumberFormat="1" applyFont="1" applyBorder="1" applyAlignment="1">
      <alignment horizontal="right"/>
    </xf>
    <xf numFmtId="0" fontId="7" fillId="3" borderId="4" xfId="0" applyFont="1" applyFill="1" applyBorder="1"/>
    <xf numFmtId="164" fontId="8" fillId="3" borderId="4" xfId="0" applyNumberFormat="1" applyFont="1" applyFill="1" applyBorder="1" applyAlignment="1">
      <alignment horizontal="right"/>
    </xf>
    <xf numFmtId="0" fontId="4" fillId="4" borderId="2" xfId="0" applyFont="1" applyFill="1" applyBorder="1" applyAlignment="1">
      <alignment horizontal="center" vertical="center"/>
    </xf>
    <xf numFmtId="167" fontId="8" fillId="3" borderId="4" xfId="0" applyNumberFormat="1" applyFont="1" applyFill="1" applyBorder="1" applyAlignment="1">
      <alignment horizontal="right"/>
    </xf>
    <xf numFmtId="0" fontId="9" fillId="5" borderId="5" xfId="0" applyFont="1" applyFill="1" applyBorder="1"/>
    <xf numFmtId="164" fontId="9" fillId="5" borderId="5" xfId="0" applyNumberFormat="1" applyFont="1" applyFill="1" applyBorder="1" applyAlignment="1">
      <alignment horizontal="right"/>
    </xf>
    <xf numFmtId="168" fontId="8" fillId="3" borderId="4" xfId="0" applyNumberFormat="1" applyFont="1" applyFill="1" applyBorder="1" applyAlignment="1">
      <alignment horizontal="right"/>
    </xf>
    <xf numFmtId="168" fontId="6" fillId="0" borderId="3" xfId="0" applyNumberFormat="1" applyFont="1" applyBorder="1" applyAlignment="1">
      <alignment horizontal="right"/>
    </xf>
    <xf numFmtId="167" fontId="6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0B981"/>
  </sheetPr>
  <dimension ref="A1:F23"/>
  <sheetViews>
    <sheetView tabSelected="1" workbookViewId="0"/>
  </sheetViews>
  <sheetFormatPr defaultRowHeight="15"/>
  <cols>
    <col min="1" max="1" width="36.7109375" customWidth="1"/>
    <col min="2" max="2" width="30.7109375" customWidth="1"/>
    <col min="3" max="3" width="18.7109375" customWidth="1"/>
    <col min="4" max="6" width="20.7109375" customWidth="1"/>
  </cols>
  <sheetData>
    <row r="1" spans="1:6">
      <c r="A1" s="1" t="s">
        <v>0</v>
      </c>
    </row>
    <row r="2" spans="1:6">
      <c r="A2" s="2" t="s">
        <v>1</v>
      </c>
    </row>
    <row r="4" spans="1:6">
      <c r="A4" s="3" t="s">
        <v>2</v>
      </c>
    </row>
    <row r="5" spans="1:6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>
      <c r="A6" s="5" t="s">
        <v>9</v>
      </c>
      <c r="B6" s="6">
        <v>0</v>
      </c>
      <c r="C6" s="7">
        <v>15</v>
      </c>
      <c r="D6" s="7">
        <v>450</v>
      </c>
      <c r="E6" s="8" t="s">
        <v>10</v>
      </c>
      <c r="F6" s="9" t="s">
        <v>11</v>
      </c>
    </row>
    <row r="7" spans="1:6">
      <c r="A7" s="5" t="s">
        <v>12</v>
      </c>
      <c r="B7" s="6">
        <v>99</v>
      </c>
      <c r="C7" s="7">
        <v>80</v>
      </c>
      <c r="D7" s="7">
        <v>2400</v>
      </c>
      <c r="E7" s="8" t="s">
        <v>13</v>
      </c>
      <c r="F7" s="9" t="s">
        <v>14</v>
      </c>
    </row>
    <row r="8" spans="1:6">
      <c r="A8" s="5" t="s">
        <v>15</v>
      </c>
      <c r="B8" s="6">
        <v>999</v>
      </c>
      <c r="C8" s="7">
        <v>1000</v>
      </c>
      <c r="D8" s="7">
        <v>30000</v>
      </c>
      <c r="E8" s="8" t="s">
        <v>16</v>
      </c>
      <c r="F8" s="9" t="s">
        <v>17</v>
      </c>
    </row>
    <row r="10" spans="1:6">
      <c r="A10" s="3" t="s">
        <v>18</v>
      </c>
    </row>
    <row r="11" spans="1:6">
      <c r="A11" s="4" t="s">
        <v>19</v>
      </c>
      <c r="B11" s="4" t="s">
        <v>20</v>
      </c>
      <c r="C11" s="4" t="s">
        <v>21</v>
      </c>
      <c r="D11" s="4" t="s">
        <v>22</v>
      </c>
    </row>
    <row r="12" spans="1:6">
      <c r="A12" s="9" t="s">
        <v>23</v>
      </c>
      <c r="B12" s="9" t="s">
        <v>24</v>
      </c>
      <c r="C12" s="10">
        <v>0.0175</v>
      </c>
      <c r="D12" s="9" t="s">
        <v>25</v>
      </c>
    </row>
    <row r="13" spans="1:6">
      <c r="A13" s="9" t="s">
        <v>26</v>
      </c>
      <c r="B13" s="9" t="s">
        <v>27</v>
      </c>
      <c r="C13" s="10">
        <v>0.0075</v>
      </c>
      <c r="D13" s="9" t="s">
        <v>28</v>
      </c>
    </row>
    <row r="14" spans="1:6">
      <c r="A14" s="9" t="s">
        <v>29</v>
      </c>
      <c r="B14" s="9" t="s">
        <v>30</v>
      </c>
      <c r="C14" s="10">
        <v>0.0005</v>
      </c>
      <c r="D14" s="9" t="s">
        <v>31</v>
      </c>
    </row>
    <row r="15" spans="1:6">
      <c r="A15" s="11" t="s">
        <v>32</v>
      </c>
      <c r="B15" s="11" t="s">
        <v>33</v>
      </c>
      <c r="C15" s="12">
        <v>0.0255</v>
      </c>
      <c r="D15" s="11" t="s">
        <v>34</v>
      </c>
    </row>
    <row r="17" spans="1:6">
      <c r="A17" s="3" t="s">
        <v>35</v>
      </c>
    </row>
    <row r="18" spans="1:6">
      <c r="A18" s="13" t="s">
        <v>36</v>
      </c>
      <c r="B18" s="13" t="s">
        <v>37</v>
      </c>
      <c r="C18" s="13" t="s">
        <v>38</v>
      </c>
      <c r="D18" s="13" t="s">
        <v>39</v>
      </c>
      <c r="E18" s="13" t="s">
        <v>40</v>
      </c>
      <c r="F18" s="13" t="s">
        <v>41</v>
      </c>
    </row>
    <row r="19" spans="1:6">
      <c r="A19" s="5" t="s">
        <v>9</v>
      </c>
      <c r="B19" s="9" t="s">
        <v>42</v>
      </c>
      <c r="C19" s="6">
        <f>(12*0.0255)*30</f>
        <v>0</v>
      </c>
      <c r="D19" s="6">
        <f>360*0.3*0.35</f>
        <v>0</v>
      </c>
      <c r="E19" s="12">
        <f>D19-C19</f>
        <v>0</v>
      </c>
      <c r="F19" s="14">
        <f>E19/D19</f>
        <v>0</v>
      </c>
    </row>
    <row r="20" spans="1:6">
      <c r="A20" s="5" t="s">
        <v>43</v>
      </c>
      <c r="B20" s="9" t="s">
        <v>44</v>
      </c>
      <c r="C20" s="6">
        <f>(25*0.0255)*30</f>
        <v>0</v>
      </c>
      <c r="D20" s="6">
        <v>99</v>
      </c>
      <c r="E20" s="12">
        <f>D20-C20</f>
        <v>0</v>
      </c>
      <c r="F20" s="14">
        <f>E20/D20</f>
        <v>0</v>
      </c>
    </row>
    <row r="21" spans="1:6">
      <c r="A21" s="5" t="s">
        <v>45</v>
      </c>
      <c r="B21" s="9" t="s">
        <v>46</v>
      </c>
      <c r="C21" s="6">
        <f>(80*0.0255)*30</f>
        <v>0</v>
      </c>
      <c r="D21" s="6">
        <v>99</v>
      </c>
      <c r="E21" s="12">
        <f>D21-C21</f>
        <v>0</v>
      </c>
      <c r="F21" s="14">
        <f>E21/D21</f>
        <v>0</v>
      </c>
    </row>
    <row r="22" spans="1:6">
      <c r="A22" s="5" t="s">
        <v>47</v>
      </c>
      <c r="B22" s="9" t="s">
        <v>48</v>
      </c>
      <c r="C22" s="6">
        <f>(300*0.0255)*30</f>
        <v>0</v>
      </c>
      <c r="D22" s="6">
        <v>999</v>
      </c>
      <c r="E22" s="12">
        <f>D22-C22</f>
        <v>0</v>
      </c>
      <c r="F22" s="14">
        <f>E22/D22</f>
        <v>0</v>
      </c>
    </row>
    <row r="23" spans="1:6">
      <c r="A23" s="5" t="s">
        <v>49</v>
      </c>
      <c r="B23" s="9" t="s">
        <v>50</v>
      </c>
      <c r="C23" s="6">
        <f>(1000*0.0255)*30</f>
        <v>0</v>
      </c>
      <c r="D23" s="6">
        <v>999</v>
      </c>
      <c r="E23" s="12">
        <f>D23-C23</f>
        <v>0</v>
      </c>
      <c r="F23" s="14">
        <f>E23/D23</f>
        <v>0</v>
      </c>
    </row>
  </sheetData>
  <printOptions gridLine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A1:E18"/>
  <sheetViews>
    <sheetView workbookViewId="0"/>
  </sheetViews>
  <sheetFormatPr defaultRowHeight="15"/>
  <cols>
    <col min="1" max="1" width="38.7109375" customWidth="1"/>
    <col min="2" max="2" width="20.7109375" customWidth="1"/>
    <col min="3" max="3" width="22.7109375" customWidth="1"/>
    <col min="4" max="4" width="44.7109375" customWidth="1"/>
    <col min="5" max="5" width="24.7109375" customWidth="1"/>
  </cols>
  <sheetData>
    <row r="1" spans="1:5">
      <c r="A1" s="1" t="s">
        <v>51</v>
      </c>
    </row>
    <row r="2" spans="1:5">
      <c r="A2" s="2" t="s">
        <v>52</v>
      </c>
    </row>
    <row r="4" spans="1: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</row>
    <row r="5" spans="1:5">
      <c r="A5" s="9" t="s">
        <v>58</v>
      </c>
      <c r="B5" s="7">
        <v>900</v>
      </c>
      <c r="C5" s="7">
        <v>100</v>
      </c>
      <c r="D5" s="9" t="s">
        <v>59</v>
      </c>
      <c r="E5" s="8" t="s">
        <v>60</v>
      </c>
    </row>
    <row r="6" spans="1:5">
      <c r="A6" s="9" t="s">
        <v>61</v>
      </c>
      <c r="B6" s="7">
        <v>12</v>
      </c>
      <c r="C6" s="7">
        <v>25</v>
      </c>
      <c r="D6" s="9" t="s">
        <v>62</v>
      </c>
      <c r="E6" s="8" t="s">
        <v>60</v>
      </c>
    </row>
    <row r="7" spans="1:5">
      <c r="A7" s="9" t="s">
        <v>63</v>
      </c>
      <c r="B7" s="7">
        <f>B5*B6*30</f>
        <v>0</v>
      </c>
      <c r="C7" s="7">
        <f>C5*C6*30</f>
        <v>0</v>
      </c>
      <c r="D7" s="9" t="s">
        <v>64</v>
      </c>
      <c r="E7" s="8" t="s">
        <v>60</v>
      </c>
    </row>
    <row r="8" spans="1:5">
      <c r="A8" s="9" t="s">
        <v>65</v>
      </c>
      <c r="B8" s="7">
        <f>B7*0.3</f>
        <v>0</v>
      </c>
      <c r="C8" s="7">
        <v>0</v>
      </c>
      <c r="D8" s="9" t="s">
        <v>66</v>
      </c>
      <c r="E8" s="8" t="s">
        <v>60</v>
      </c>
    </row>
    <row r="9" spans="1:5">
      <c r="A9" s="11" t="s">
        <v>67</v>
      </c>
      <c r="B9" s="7">
        <f>(B8/1000)*350</f>
        <v>0</v>
      </c>
      <c r="C9" s="7">
        <v>0</v>
      </c>
      <c r="D9" s="9" t="s">
        <v>68</v>
      </c>
      <c r="E9" s="12">
        <f>B9</f>
        <v>0</v>
      </c>
    </row>
    <row r="10" spans="1:5">
      <c r="A10" s="11" t="s">
        <v>69</v>
      </c>
      <c r="B10" s="7">
        <v>0</v>
      </c>
      <c r="C10" s="7">
        <f>C5*99</f>
        <v>0</v>
      </c>
      <c r="D10" s="9" t="s">
        <v>70</v>
      </c>
      <c r="E10" s="12">
        <f>C10</f>
        <v>0</v>
      </c>
    </row>
    <row r="11" spans="1:5">
      <c r="A11" s="11" t="s">
        <v>71</v>
      </c>
      <c r="B11" s="7">
        <v>0</v>
      </c>
      <c r="C11" s="7">
        <v>4995</v>
      </c>
      <c r="D11" s="9" t="s">
        <v>72</v>
      </c>
      <c r="E11" s="12">
        <v>4995</v>
      </c>
    </row>
    <row r="12" spans="1:5">
      <c r="A12" s="11" t="s">
        <v>73</v>
      </c>
      <c r="B12" s="8" t="s">
        <v>60</v>
      </c>
      <c r="C12" s="8" t="s">
        <v>60</v>
      </c>
      <c r="D12" s="9" t="s">
        <v>74</v>
      </c>
      <c r="E12" s="12">
        <f>E9+E10+E11</f>
        <v>0</v>
      </c>
    </row>
    <row r="13" spans="1:5">
      <c r="A13" s="9" t="s">
        <v>75</v>
      </c>
      <c r="B13" s="7">
        <f>(B5*0.35)*30</f>
        <v>0</v>
      </c>
      <c r="C13" s="7">
        <f>(C5*0.35)*30</f>
        <v>0</v>
      </c>
      <c r="D13" s="9" t="s">
        <v>76</v>
      </c>
      <c r="E13" s="6">
        <f>B13+C13</f>
        <v>0</v>
      </c>
    </row>
    <row r="14" spans="1:5">
      <c r="A14" s="9" t="s">
        <v>77</v>
      </c>
      <c r="B14" s="7">
        <f>(B7*0.0075)</f>
        <v>0</v>
      </c>
      <c r="C14" s="7">
        <f>(C7*0.0075)</f>
        <v>0</v>
      </c>
      <c r="D14" s="9" t="s">
        <v>78</v>
      </c>
      <c r="E14" s="6">
        <f>B14+C14</f>
        <v>0</v>
      </c>
    </row>
    <row r="15" spans="1:5">
      <c r="A15" s="9" t="s">
        <v>79</v>
      </c>
      <c r="B15" s="7">
        <v>1500</v>
      </c>
      <c r="C15" s="7">
        <v>1500</v>
      </c>
      <c r="D15" s="9" t="s">
        <v>80</v>
      </c>
      <c r="E15" s="6">
        <v>3000</v>
      </c>
    </row>
    <row r="16" spans="1:5">
      <c r="A16" s="15" t="s">
        <v>81</v>
      </c>
      <c r="B16" s="8" t="s">
        <v>60</v>
      </c>
      <c r="C16" s="8" t="s">
        <v>60</v>
      </c>
      <c r="D16" s="9" t="s">
        <v>82</v>
      </c>
      <c r="E16" s="16">
        <f>SUM(E13:E15)</f>
        <v>0</v>
      </c>
    </row>
    <row r="17" spans="1:5">
      <c r="A17" s="11" t="s">
        <v>83</v>
      </c>
      <c r="B17" s="8" t="s">
        <v>60</v>
      </c>
      <c r="C17" s="8" t="s">
        <v>60</v>
      </c>
      <c r="D17" s="9" t="s">
        <v>84</v>
      </c>
      <c r="E17" s="12">
        <f>E12-E16</f>
        <v>0</v>
      </c>
    </row>
    <row r="18" spans="1:5">
      <c r="A18" s="11" t="s">
        <v>85</v>
      </c>
      <c r="B18" s="8" t="s">
        <v>60</v>
      </c>
      <c r="C18" s="8" t="s">
        <v>60</v>
      </c>
      <c r="D18" s="9" t="s">
        <v>86</v>
      </c>
      <c r="E18" s="14">
        <f>E17/E12</f>
        <v>0</v>
      </c>
    </row>
  </sheetData>
  <printOptions gridLine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B5CF6"/>
  </sheetPr>
  <dimension ref="A1:E21"/>
  <sheetViews>
    <sheetView workbookViewId="0"/>
  </sheetViews>
  <sheetFormatPr defaultRowHeight="15"/>
  <cols>
    <col min="1" max="1" width="38.7109375" customWidth="1"/>
    <col min="2" max="2" width="22.7109375" customWidth="1"/>
    <col min="3" max="3" width="20.7109375" customWidth="1"/>
    <col min="4" max="4" width="46.7109375" customWidth="1"/>
    <col min="5" max="5" width="26.7109375" customWidth="1"/>
  </cols>
  <sheetData>
    <row r="1" spans="1:5">
      <c r="A1" s="1" t="s">
        <v>87</v>
      </c>
    </row>
    <row r="2" spans="1:5">
      <c r="A2" s="2" t="s">
        <v>88</v>
      </c>
    </row>
    <row r="4" spans="1:5">
      <c r="A4" s="13" t="s">
        <v>89</v>
      </c>
      <c r="B4" s="13" t="s">
        <v>90</v>
      </c>
      <c r="C4" s="13" t="s">
        <v>91</v>
      </c>
      <c r="D4" s="13" t="s">
        <v>92</v>
      </c>
      <c r="E4" s="13" t="s">
        <v>93</v>
      </c>
    </row>
    <row r="5" spans="1:5">
      <c r="A5" s="9" t="s">
        <v>94</v>
      </c>
      <c r="B5" s="7">
        <v>1000</v>
      </c>
      <c r="C5" s="7">
        <v>1000</v>
      </c>
      <c r="D5" s="9" t="s">
        <v>95</v>
      </c>
      <c r="E5" s="8" t="s">
        <v>60</v>
      </c>
    </row>
    <row r="6" spans="1:5">
      <c r="A6" s="9" t="s">
        <v>96</v>
      </c>
      <c r="B6" s="7">
        <v>10000</v>
      </c>
      <c r="C6" s="7">
        <v>333.33</v>
      </c>
      <c r="D6" s="9" t="s">
        <v>97</v>
      </c>
      <c r="E6" s="8" t="s">
        <v>60</v>
      </c>
    </row>
    <row r="7" spans="1:5">
      <c r="A7" s="11" t="s">
        <v>98</v>
      </c>
      <c r="B7" s="7">
        <f>B5*B6</f>
        <v>0</v>
      </c>
      <c r="C7" s="7">
        <f>B7/30</f>
        <v>0</v>
      </c>
      <c r="D7" s="9" t="s">
        <v>99</v>
      </c>
      <c r="E7" s="17">
        <f>B7</f>
        <v>0</v>
      </c>
    </row>
    <row r="8" spans="1:5">
      <c r="A8" s="11" t="s">
        <v>100</v>
      </c>
      <c r="B8" s="7">
        <v>5000</v>
      </c>
      <c r="C8" s="7">
        <v>5000</v>
      </c>
      <c r="D8" s="9" t="s">
        <v>101</v>
      </c>
      <c r="E8" s="17">
        <f>B8*99</f>
        <v>0</v>
      </c>
    </row>
    <row r="9" spans="1:5">
      <c r="A9" s="11" t="s">
        <v>102</v>
      </c>
      <c r="B9" s="7">
        <v>250</v>
      </c>
      <c r="C9" s="7">
        <v>250</v>
      </c>
      <c r="D9" s="9" t="s">
        <v>103</v>
      </c>
      <c r="E9" s="17">
        <f>B9*999</f>
        <v>0</v>
      </c>
    </row>
    <row r="10" spans="1:5">
      <c r="A10" s="11" t="s">
        <v>73</v>
      </c>
      <c r="B10" s="8" t="s">
        <v>60</v>
      </c>
      <c r="C10" s="8" t="s">
        <v>60</v>
      </c>
      <c r="D10" s="9" t="s">
        <v>74</v>
      </c>
      <c r="E10" s="17">
        <f>SUM(E7:E9)</f>
        <v>0</v>
      </c>
    </row>
    <row r="11" spans="1:5">
      <c r="A11" s="9" t="s">
        <v>104</v>
      </c>
      <c r="B11" s="7">
        <f>(E7/350)*1000</f>
        <v>0</v>
      </c>
      <c r="C11" s="7">
        <f>B11/30</f>
        <v>0</v>
      </c>
      <c r="D11" s="9" t="s">
        <v>105</v>
      </c>
      <c r="E11" s="8" t="s">
        <v>60</v>
      </c>
    </row>
    <row r="12" spans="1:5">
      <c r="A12" s="9" t="s">
        <v>106</v>
      </c>
      <c r="B12" s="7">
        <f>B11/0.3</f>
        <v>0</v>
      </c>
      <c r="C12" s="7">
        <f>B12/30</f>
        <v>0</v>
      </c>
      <c r="D12" s="9" t="s">
        <v>107</v>
      </c>
      <c r="E12" s="8" t="s">
        <v>60</v>
      </c>
    </row>
    <row r="13" spans="1:5">
      <c r="A13" s="9" t="s">
        <v>108</v>
      </c>
      <c r="B13" s="7">
        <f>C12/15</f>
        <v>0</v>
      </c>
      <c r="C13" s="7">
        <f>B13</f>
        <v>0</v>
      </c>
      <c r="D13" s="9" t="s">
        <v>109</v>
      </c>
      <c r="E13" s="8" t="s">
        <v>60</v>
      </c>
    </row>
    <row r="14" spans="1:5">
      <c r="A14" s="9" t="s">
        <v>75</v>
      </c>
      <c r="B14" s="7">
        <f>(B13*0.35)*30</f>
        <v>0</v>
      </c>
      <c r="C14" s="7">
        <f>(B13*0.35)</f>
        <v>0</v>
      </c>
      <c r="D14" s="9" t="s">
        <v>110</v>
      </c>
      <c r="E14" s="18">
        <f>B14</f>
        <v>0</v>
      </c>
    </row>
    <row r="15" spans="1:5">
      <c r="A15" s="9" t="s">
        <v>111</v>
      </c>
      <c r="B15" s="7">
        <f>B12*0.0075</f>
        <v>0</v>
      </c>
      <c r="C15" s="7">
        <f>C12*0.0075</f>
        <v>0</v>
      </c>
      <c r="D15" s="9" t="s">
        <v>112</v>
      </c>
      <c r="E15" s="18">
        <f>B15</f>
        <v>0</v>
      </c>
    </row>
    <row r="16" spans="1:5">
      <c r="A16" s="9" t="s">
        <v>113</v>
      </c>
      <c r="B16" s="7">
        <v>75000</v>
      </c>
      <c r="C16" s="7">
        <v>2500</v>
      </c>
      <c r="D16" s="9" t="s">
        <v>114</v>
      </c>
      <c r="E16" s="18">
        <v>75000</v>
      </c>
    </row>
    <row r="17" spans="1:5">
      <c r="A17" s="9" t="s">
        <v>115</v>
      </c>
      <c r="B17" s="7">
        <v>150000</v>
      </c>
      <c r="C17" s="7">
        <v>5000</v>
      </c>
      <c r="D17" s="9" t="s">
        <v>116</v>
      </c>
      <c r="E17" s="18">
        <v>150000</v>
      </c>
    </row>
    <row r="18" spans="1:5">
      <c r="A18" s="15" t="s">
        <v>117</v>
      </c>
      <c r="B18" s="8" t="s">
        <v>60</v>
      </c>
      <c r="C18" s="8" t="s">
        <v>60</v>
      </c>
      <c r="D18" s="9" t="s">
        <v>118</v>
      </c>
      <c r="E18" s="16">
        <f>SUM(E14:E17)</f>
        <v>0</v>
      </c>
    </row>
    <row r="19" spans="1:5">
      <c r="A19" s="11" t="s">
        <v>83</v>
      </c>
      <c r="B19" s="8" t="s">
        <v>60</v>
      </c>
      <c r="C19" s="8" t="s">
        <v>60</v>
      </c>
      <c r="D19" s="9" t="s">
        <v>119</v>
      </c>
      <c r="E19" s="17">
        <f>E10-E18</f>
        <v>0</v>
      </c>
    </row>
    <row r="20" spans="1:5">
      <c r="A20" s="11" t="s">
        <v>85</v>
      </c>
      <c r="B20" s="8" t="s">
        <v>60</v>
      </c>
      <c r="C20" s="8" t="s">
        <v>60</v>
      </c>
      <c r="D20" s="9" t="s">
        <v>86</v>
      </c>
      <c r="E20" s="14">
        <f>E19/E10</f>
        <v>0</v>
      </c>
    </row>
    <row r="21" spans="1:5">
      <c r="A21" s="11" t="s">
        <v>120</v>
      </c>
      <c r="B21" s="8" t="s">
        <v>60</v>
      </c>
      <c r="C21" s="8" t="s">
        <v>60</v>
      </c>
      <c r="D21" s="9" t="s">
        <v>121</v>
      </c>
      <c r="E21" s="17">
        <f>E19*12</f>
        <v>0</v>
      </c>
    </row>
  </sheetData>
  <printOptions gridLine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A1:K17"/>
  <sheetViews>
    <sheetView workbookViewId="0"/>
  </sheetViews>
  <sheetFormatPr defaultRowHeight="15"/>
  <cols>
    <col min="1" max="2" width="14.7109375" customWidth="1"/>
    <col min="3" max="3" width="18.7109375" customWidth="1"/>
    <col min="4" max="4" width="16.7109375" customWidth="1"/>
    <col min="5" max="7" width="18.7109375" customWidth="1"/>
    <col min="8" max="8" width="20.7109375" customWidth="1"/>
    <col min="9" max="9" width="18.7109375" customWidth="1"/>
    <col min="10" max="10" width="20.7109375" customWidth="1"/>
    <col min="11" max="11" width="14.7109375" customWidth="1"/>
  </cols>
  <sheetData>
    <row r="1" spans="1:11">
      <c r="A1" s="1" t="s">
        <v>122</v>
      </c>
    </row>
    <row r="2" spans="1:11">
      <c r="A2" s="2" t="s">
        <v>123</v>
      </c>
    </row>
    <row r="4" spans="1:11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  <c r="G4" s="4" t="s">
        <v>130</v>
      </c>
      <c r="H4" s="4" t="s">
        <v>131</v>
      </c>
      <c r="I4" s="4" t="s">
        <v>132</v>
      </c>
      <c r="J4" s="4" t="s">
        <v>133</v>
      </c>
      <c r="K4" s="4" t="s">
        <v>134</v>
      </c>
    </row>
    <row r="5" spans="1:11">
      <c r="A5" s="8" t="s">
        <v>135</v>
      </c>
      <c r="B5" s="7">
        <v>1000</v>
      </c>
      <c r="C5" s="7">
        <v>399000</v>
      </c>
      <c r="D5" s="7">
        <v>5</v>
      </c>
      <c r="E5" s="18">
        <v>34020</v>
      </c>
      <c r="F5" s="18">
        <v>9900</v>
      </c>
      <c r="G5" s="18">
        <v>4995</v>
      </c>
      <c r="H5" s="18">
        <f>E5+F5+G5</f>
        <v>0</v>
      </c>
      <c r="I5" s="18">
        <v>14200</v>
      </c>
      <c r="J5" s="17">
        <f>H5-I5</f>
        <v>0</v>
      </c>
      <c r="K5" s="19">
        <f>J5/H5</f>
        <v>0</v>
      </c>
    </row>
    <row r="6" spans="1:11">
      <c r="A6" s="8" t="s">
        <v>136</v>
      </c>
      <c r="B6" s="7">
        <v>2500</v>
      </c>
      <c r="C6" s="7">
        <v>997500</v>
      </c>
      <c r="D6" s="7">
        <v>12</v>
      </c>
      <c r="E6" s="18">
        <v>85050</v>
      </c>
      <c r="F6" s="18">
        <v>24750</v>
      </c>
      <c r="G6" s="18">
        <v>9990</v>
      </c>
      <c r="H6" s="18">
        <f>E6+F6+G6</f>
        <v>0</v>
      </c>
      <c r="I6" s="18">
        <v>33500</v>
      </c>
      <c r="J6" s="17">
        <f>H6-I6</f>
        <v>0</v>
      </c>
      <c r="K6" s="19">
        <f>J6/H6</f>
        <v>0</v>
      </c>
    </row>
    <row r="7" spans="1:11">
      <c r="A7" s="8" t="s">
        <v>137</v>
      </c>
      <c r="B7" s="7">
        <v>5000</v>
      </c>
      <c r="C7" s="7">
        <v>1995000</v>
      </c>
      <c r="D7" s="7">
        <v>25</v>
      </c>
      <c r="E7" s="18">
        <v>170100</v>
      </c>
      <c r="F7" s="18">
        <v>49500</v>
      </c>
      <c r="G7" s="18">
        <v>19980</v>
      </c>
      <c r="H7" s="18">
        <f>E7+F7+G7</f>
        <v>0</v>
      </c>
      <c r="I7" s="18">
        <v>65000</v>
      </c>
      <c r="J7" s="17">
        <f>H7-I7</f>
        <v>0</v>
      </c>
      <c r="K7" s="19">
        <f>J7/H7</f>
        <v>0</v>
      </c>
    </row>
    <row r="8" spans="1:11">
      <c r="A8" s="8" t="s">
        <v>138</v>
      </c>
      <c r="B8" s="7">
        <v>10000</v>
      </c>
      <c r="C8" s="7">
        <v>3990000</v>
      </c>
      <c r="D8" s="7">
        <v>50</v>
      </c>
      <c r="E8" s="18">
        <v>340200</v>
      </c>
      <c r="F8" s="18">
        <v>118800</v>
      </c>
      <c r="G8" s="18">
        <v>39960</v>
      </c>
      <c r="H8" s="18">
        <f>E8+F8+G8</f>
        <v>0</v>
      </c>
      <c r="I8" s="18">
        <v>128000</v>
      </c>
      <c r="J8" s="17">
        <f>H8-I8</f>
        <v>0</v>
      </c>
      <c r="K8" s="19">
        <f>J8/H8</f>
        <v>0</v>
      </c>
    </row>
    <row r="9" spans="1:11">
      <c r="A9" s="8" t="s">
        <v>139</v>
      </c>
      <c r="B9" s="7">
        <v>18000</v>
      </c>
      <c r="C9" s="7">
        <v>7182000</v>
      </c>
      <c r="D9" s="7">
        <v>90</v>
      </c>
      <c r="E9" s="18">
        <v>612360</v>
      </c>
      <c r="F9" s="18">
        <v>237600</v>
      </c>
      <c r="G9" s="18">
        <v>79920</v>
      </c>
      <c r="H9" s="18">
        <f>E9+F9+G9</f>
        <v>0</v>
      </c>
      <c r="I9" s="18">
        <v>225000</v>
      </c>
      <c r="J9" s="17">
        <f>H9-I9</f>
        <v>0</v>
      </c>
      <c r="K9" s="19">
        <f>J9/H9</f>
        <v>0</v>
      </c>
    </row>
    <row r="10" spans="1:11">
      <c r="A10" s="8" t="s">
        <v>140</v>
      </c>
      <c r="B10" s="7">
        <v>30000</v>
      </c>
      <c r="C10" s="7">
        <v>11970000</v>
      </c>
      <c r="D10" s="7">
        <v>150</v>
      </c>
      <c r="E10" s="18">
        <v>1020600</v>
      </c>
      <c r="F10" s="18">
        <v>445500</v>
      </c>
      <c r="G10" s="18">
        <v>149850</v>
      </c>
      <c r="H10" s="18">
        <f>E10+F10+G10</f>
        <v>0</v>
      </c>
      <c r="I10" s="18">
        <v>370000</v>
      </c>
      <c r="J10" s="17">
        <f>H10-I10</f>
        <v>0</v>
      </c>
      <c r="K10" s="19">
        <f>J10/H10</f>
        <v>0</v>
      </c>
    </row>
    <row r="11" spans="1:11">
      <c r="A11" s="8" t="s">
        <v>141</v>
      </c>
      <c r="B11" s="7">
        <v>45000</v>
      </c>
      <c r="C11" s="7">
        <v>17955000</v>
      </c>
      <c r="D11" s="7">
        <v>220</v>
      </c>
      <c r="E11" s="18">
        <v>1530900</v>
      </c>
      <c r="F11" s="18">
        <v>742500</v>
      </c>
      <c r="G11" s="18">
        <v>249750</v>
      </c>
      <c r="H11" s="18">
        <f>E11+F11+G11</f>
        <v>0</v>
      </c>
      <c r="I11" s="18">
        <v>545000</v>
      </c>
      <c r="J11" s="17">
        <f>H11-I11</f>
        <v>0</v>
      </c>
      <c r="K11" s="19">
        <f>J11/H11</f>
        <v>0</v>
      </c>
    </row>
    <row r="12" spans="1:11">
      <c r="A12" s="8" t="s">
        <v>142</v>
      </c>
      <c r="B12" s="7">
        <v>65000</v>
      </c>
      <c r="C12" s="7">
        <v>25935000</v>
      </c>
      <c r="D12" s="7">
        <v>300</v>
      </c>
      <c r="E12" s="18">
        <v>2211300</v>
      </c>
      <c r="F12" s="18">
        <v>1138500</v>
      </c>
      <c r="G12" s="18">
        <v>399600</v>
      </c>
      <c r="H12" s="18">
        <f>E12+F12+G12</f>
        <v>0</v>
      </c>
      <c r="I12" s="18">
        <v>780000</v>
      </c>
      <c r="J12" s="17">
        <f>H12-I12</f>
        <v>0</v>
      </c>
      <c r="K12" s="19">
        <f>J12/H12</f>
        <v>0</v>
      </c>
    </row>
    <row r="13" spans="1:11">
      <c r="A13" s="8" t="s">
        <v>143</v>
      </c>
      <c r="B13" s="7">
        <v>90000</v>
      </c>
      <c r="C13" s="7">
        <v>35910000</v>
      </c>
      <c r="D13" s="7">
        <v>400</v>
      </c>
      <c r="E13" s="18">
        <v>3061800</v>
      </c>
      <c r="F13" s="18">
        <v>1683000</v>
      </c>
      <c r="G13" s="18">
        <v>599400</v>
      </c>
      <c r="H13" s="18">
        <f>E13+F13+G13</f>
        <v>0</v>
      </c>
      <c r="I13" s="18">
        <v>1070000</v>
      </c>
      <c r="J13" s="17">
        <f>H13-I13</f>
        <v>0</v>
      </c>
      <c r="K13" s="19">
        <f>J13/H13</f>
        <v>0</v>
      </c>
    </row>
    <row r="14" spans="1:11">
      <c r="A14" s="8" t="s">
        <v>144</v>
      </c>
      <c r="B14" s="7">
        <v>120000</v>
      </c>
      <c r="C14" s="7">
        <v>47880000</v>
      </c>
      <c r="D14" s="7">
        <v>550</v>
      </c>
      <c r="E14" s="18">
        <v>4082400</v>
      </c>
      <c r="F14" s="18">
        <v>2376000</v>
      </c>
      <c r="G14" s="18">
        <v>849150</v>
      </c>
      <c r="H14" s="18">
        <f>E14+F14+G14</f>
        <v>0</v>
      </c>
      <c r="I14" s="18">
        <v>1410000</v>
      </c>
      <c r="J14" s="17">
        <f>H14-I14</f>
        <v>0</v>
      </c>
      <c r="K14" s="19">
        <f>J14/H14</f>
        <v>0</v>
      </c>
    </row>
    <row r="15" spans="1:11">
      <c r="A15" s="8" t="s">
        <v>145</v>
      </c>
      <c r="B15" s="7">
        <v>160000</v>
      </c>
      <c r="C15" s="7">
        <v>63840000</v>
      </c>
      <c r="D15" s="7">
        <v>750</v>
      </c>
      <c r="E15" s="18">
        <v>5443200</v>
      </c>
      <c r="F15" s="18">
        <v>3366000</v>
      </c>
      <c r="G15" s="18">
        <v>1198800</v>
      </c>
      <c r="H15" s="18">
        <f>E15+F15+G15</f>
        <v>0</v>
      </c>
      <c r="I15" s="18">
        <v>1870000</v>
      </c>
      <c r="J15" s="17">
        <f>H15-I15</f>
        <v>0</v>
      </c>
      <c r="K15" s="19">
        <f>J15/H15</f>
        <v>0</v>
      </c>
    </row>
    <row r="16" spans="1:11">
      <c r="A16" s="8" t="s">
        <v>146</v>
      </c>
      <c r="B16" s="7">
        <v>200000</v>
      </c>
      <c r="C16" s="7">
        <v>79800000</v>
      </c>
      <c r="D16" s="7">
        <v>1000</v>
      </c>
      <c r="E16" s="18">
        <v>6804000</v>
      </c>
      <c r="F16" s="18">
        <v>4455000</v>
      </c>
      <c r="G16" s="18">
        <v>1598400</v>
      </c>
      <c r="H16" s="18">
        <f>E16+F16+G16</f>
        <v>0</v>
      </c>
      <c r="I16" s="18">
        <v>2320000</v>
      </c>
      <c r="J16" s="17">
        <f>H16-I16</f>
        <v>0</v>
      </c>
      <c r="K16" s="19">
        <f>J16/H16</f>
        <v>0</v>
      </c>
    </row>
    <row r="17" spans="1:11">
      <c r="A17" s="11" t="s">
        <v>147</v>
      </c>
      <c r="B17" s="17">
        <f>AVERAGE(B5:B16)</f>
        <v>0</v>
      </c>
      <c r="C17" s="17">
        <f>SUM(C5:C16)</f>
        <v>0</v>
      </c>
      <c r="D17" s="17">
        <f>AVERAGE(D5:D16)</f>
        <v>0</v>
      </c>
      <c r="E17" s="17">
        <f>SUM(E5:E16)</f>
        <v>0</v>
      </c>
      <c r="F17" s="17">
        <f>SUM(F5:F16)</f>
        <v>0</v>
      </c>
      <c r="G17" s="17">
        <f>SUM(G5:G16)</f>
        <v>0</v>
      </c>
      <c r="H17" s="17">
        <f>SUM(H5:H16)</f>
        <v>0</v>
      </c>
      <c r="I17" s="17">
        <f>SUM(I5:I16)</f>
        <v>0</v>
      </c>
      <c r="J17" s="17">
        <f>SUM(J5:J16)</f>
        <v>0</v>
      </c>
      <c r="K17" s="14">
        <f>J17/H17</f>
        <v>0</v>
      </c>
    </row>
  </sheetData>
  <printOptions gridLine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FUP Tiers &amp; Unit Economics</vt:lpstr>
      <vt:lpstr>Launch Phase (1,000 DAU)</vt:lpstr>
      <vt:lpstr>Scale Phase (1,000 Brands)</vt:lpstr>
      <vt:lpstr>12-Month Growth Projections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2026-10-30T08:53:18Z</dcterms:created>
  <dcterms:modified xsi:type="dcterms:W3CDTF">2026-10-30T08:53:18Z</dcterms:modified>
</cp:coreProperties>
</file>